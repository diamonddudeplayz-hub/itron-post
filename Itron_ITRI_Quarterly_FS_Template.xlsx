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rrenleung/Desktop/10ks/ITRI/"/>
    </mc:Choice>
  </mc:AlternateContent>
  <xr:revisionPtr revIDLastSave="0" documentId="13_ncr:1_{0A565A9A-E4C2-FF4F-90B1-907BB1331F09}" xr6:coauthVersionLast="47" xr6:coauthVersionMax="47" xr10:uidLastSave="{00000000-0000-0000-0000-000000000000}"/>
  <bookViews>
    <workbookView xWindow="0" yWindow="680" windowWidth="30240" windowHeight="18960" tabRatio="500" xr2:uid="{00000000-000D-0000-FFFF-FFFF00000000}"/>
  </bookViews>
  <sheets>
    <sheet name="F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Q353" i="1" l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V352" i="1"/>
  <c r="V353" i="1"/>
  <c r="B352" i="1"/>
  <c r="B354" i="1" s="1"/>
  <c r="F354" i="1"/>
  <c r="E354" i="1"/>
  <c r="D354" i="1"/>
  <c r="C354" i="1"/>
  <c r="F353" i="1"/>
  <c r="E353" i="1"/>
  <c r="D353" i="1"/>
  <c r="C353" i="1"/>
  <c r="B353" i="1"/>
  <c r="F352" i="1"/>
  <c r="E352" i="1"/>
  <c r="D352" i="1"/>
  <c r="C352" i="1"/>
  <c r="F351" i="1"/>
  <c r="E351" i="1"/>
  <c r="D351" i="1"/>
  <c r="C351" i="1"/>
  <c r="B351" i="1"/>
  <c r="E357" i="1"/>
  <c r="D357" i="1"/>
  <c r="C357" i="1"/>
  <c r="B357" i="1"/>
  <c r="F334" i="1"/>
  <c r="E334" i="1"/>
  <c r="D334" i="1"/>
  <c r="C334" i="1"/>
  <c r="B334" i="1"/>
  <c r="F332" i="1"/>
  <c r="E332" i="1"/>
  <c r="D332" i="1"/>
  <c r="C332" i="1"/>
  <c r="B332" i="1"/>
  <c r="F330" i="1"/>
  <c r="E330" i="1"/>
  <c r="D330" i="1"/>
  <c r="C330" i="1"/>
  <c r="B330" i="1"/>
  <c r="F318" i="1"/>
  <c r="E318" i="1"/>
  <c r="D318" i="1"/>
  <c r="C318" i="1"/>
  <c r="B318" i="1"/>
  <c r="F302" i="1"/>
  <c r="F300" i="1"/>
  <c r="F298" i="1"/>
  <c r="F297" i="1"/>
  <c r="F288" i="1"/>
  <c r="E288" i="1"/>
  <c r="D288" i="1"/>
  <c r="C288" i="1"/>
  <c r="B288" i="1"/>
  <c r="F286" i="1"/>
  <c r="E286" i="1"/>
  <c r="D286" i="1"/>
  <c r="C286" i="1"/>
  <c r="B286" i="1"/>
  <c r="F285" i="1"/>
  <c r="E285" i="1"/>
  <c r="D285" i="1"/>
  <c r="C285" i="1"/>
  <c r="B285" i="1"/>
  <c r="F278" i="1"/>
  <c r="E278" i="1"/>
  <c r="D278" i="1"/>
  <c r="C278" i="1"/>
  <c r="B278" i="1"/>
  <c r="F266" i="1"/>
  <c r="E266" i="1"/>
  <c r="D266" i="1"/>
  <c r="C266" i="1"/>
  <c r="B266" i="1"/>
  <c r="F276" i="1"/>
  <c r="E276" i="1"/>
  <c r="D276" i="1"/>
  <c r="C276" i="1"/>
  <c r="B276" i="1"/>
  <c r="F274" i="1"/>
  <c r="E274" i="1"/>
  <c r="D274" i="1"/>
  <c r="C274" i="1"/>
  <c r="B274" i="1"/>
  <c r="F273" i="1"/>
  <c r="E273" i="1"/>
  <c r="D273" i="1"/>
  <c r="C273" i="1"/>
  <c r="B273" i="1"/>
  <c r="F264" i="1"/>
  <c r="E264" i="1"/>
  <c r="D264" i="1"/>
  <c r="C264" i="1"/>
  <c r="B264" i="1"/>
  <c r="F262" i="1"/>
  <c r="E262" i="1"/>
  <c r="D262" i="1"/>
  <c r="C262" i="1"/>
  <c r="B262" i="1"/>
  <c r="F261" i="1"/>
  <c r="E261" i="1"/>
  <c r="D261" i="1"/>
  <c r="C261" i="1"/>
  <c r="B261" i="1"/>
  <c r="F53" i="1"/>
  <c r="E53" i="1"/>
  <c r="D53" i="1"/>
  <c r="C53" i="1"/>
  <c r="B53" i="1"/>
  <c r="F49" i="1"/>
  <c r="E49" i="1"/>
  <c r="D49" i="1"/>
  <c r="C49" i="1"/>
  <c r="B49" i="1"/>
  <c r="F39" i="1"/>
  <c r="E39" i="1"/>
  <c r="D39" i="1"/>
  <c r="C39" i="1"/>
  <c r="B39" i="1"/>
  <c r="F36" i="1"/>
  <c r="E36" i="1"/>
  <c r="D36" i="1"/>
  <c r="C36" i="1"/>
  <c r="B36" i="1"/>
  <c r="F30" i="1"/>
  <c r="E30" i="1"/>
  <c r="D30" i="1"/>
  <c r="C30" i="1"/>
  <c r="B30" i="1"/>
  <c r="F29" i="1"/>
  <c r="E29" i="1"/>
  <c r="D29" i="1"/>
  <c r="C29" i="1"/>
  <c r="B29" i="1"/>
  <c r="F27" i="1"/>
  <c r="E27" i="1"/>
  <c r="D27" i="1"/>
  <c r="C27" i="1"/>
  <c r="B27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13" i="1"/>
  <c r="E13" i="1"/>
  <c r="D13" i="1"/>
  <c r="C13" i="1"/>
  <c r="B13" i="1"/>
  <c r="F12" i="1"/>
  <c r="E12" i="1"/>
  <c r="D12" i="1"/>
  <c r="C12" i="1"/>
  <c r="B12" i="1"/>
  <c r="F317" i="1"/>
  <c r="F316" i="1"/>
  <c r="F315" i="1"/>
  <c r="F314" i="1"/>
  <c r="F313" i="1"/>
  <c r="F310" i="1"/>
  <c r="F309" i="1"/>
  <c r="F308" i="1"/>
  <c r="F218" i="1"/>
  <c r="F301" i="1"/>
  <c r="F299" i="1"/>
  <c r="F295" i="1"/>
  <c r="F294" i="1"/>
  <c r="F293" i="1"/>
  <c r="F289" i="1"/>
  <c r="F287" i="1"/>
  <c r="F283" i="1"/>
  <c r="F282" i="1"/>
  <c r="F281" i="1"/>
  <c r="F277" i="1"/>
  <c r="F275" i="1"/>
  <c r="F271" i="1"/>
  <c r="F270" i="1"/>
  <c r="F269" i="1"/>
  <c r="F265" i="1"/>
  <c r="F263" i="1"/>
  <c r="F259" i="1"/>
  <c r="F258" i="1"/>
  <c r="F257" i="1"/>
  <c r="F249" i="1"/>
  <c r="F247" i="1"/>
  <c r="F244" i="1"/>
  <c r="F241" i="1"/>
  <c r="F240" i="1"/>
  <c r="F239" i="1"/>
  <c r="F237" i="1"/>
  <c r="F236" i="1"/>
  <c r="F235" i="1"/>
  <c r="F234" i="1"/>
  <c r="F227" i="1"/>
  <c r="F226" i="1"/>
  <c r="F225" i="1"/>
  <c r="F221" i="1"/>
  <c r="F217" i="1"/>
  <c r="F215" i="1"/>
  <c r="F214" i="1"/>
  <c r="F213" i="1"/>
  <c r="F209" i="1"/>
  <c r="F208" i="1"/>
  <c r="F205" i="1"/>
  <c r="F202" i="1"/>
  <c r="F201" i="1"/>
  <c r="F200" i="1"/>
  <c r="F199" i="1"/>
  <c r="F195" i="1"/>
  <c r="F194" i="1"/>
  <c r="F190" i="1"/>
  <c r="F188" i="1"/>
  <c r="F187" i="1"/>
  <c r="F186" i="1"/>
  <c r="F185" i="1"/>
  <c r="F113" i="1"/>
  <c r="F112" i="1"/>
  <c r="F111" i="1"/>
  <c r="F110" i="1"/>
  <c r="F109" i="1"/>
  <c r="F108" i="1"/>
  <c r="F107" i="1"/>
  <c r="F103" i="1"/>
  <c r="F102" i="1"/>
  <c r="F101" i="1"/>
  <c r="F100" i="1"/>
  <c r="F99" i="1"/>
  <c r="F98" i="1"/>
  <c r="F97" i="1"/>
  <c r="F92" i="1"/>
  <c r="F91" i="1"/>
  <c r="F90" i="1"/>
  <c r="F89" i="1"/>
  <c r="F88" i="1"/>
  <c r="F87" i="1"/>
  <c r="F86" i="1"/>
  <c r="F95" i="1"/>
  <c r="F82" i="1"/>
  <c r="F81" i="1"/>
  <c r="F80" i="1"/>
  <c r="F79" i="1"/>
  <c r="F78" i="1"/>
  <c r="F77" i="1"/>
  <c r="F76" i="1"/>
  <c r="F74" i="1"/>
  <c r="F73" i="1"/>
  <c r="F72" i="1"/>
  <c r="F71" i="1"/>
  <c r="F70" i="1"/>
  <c r="F69" i="1"/>
  <c r="F68" i="1"/>
  <c r="F67" i="1"/>
  <c r="F56" i="1"/>
  <c r="F55" i="1"/>
  <c r="F52" i="1"/>
  <c r="F51" i="1"/>
  <c r="F50" i="1"/>
  <c r="F48" i="1"/>
  <c r="F47" i="1"/>
  <c r="F45" i="1"/>
  <c r="F44" i="1"/>
  <c r="F43" i="1"/>
  <c r="F42" i="1"/>
  <c r="F38" i="1"/>
  <c r="F35" i="1"/>
  <c r="F33" i="1"/>
  <c r="F32" i="1"/>
  <c r="F31" i="1"/>
  <c r="F28" i="1"/>
  <c r="F26" i="1"/>
  <c r="F20" i="1"/>
  <c r="F18" i="1"/>
  <c r="F17" i="1"/>
  <c r="F16" i="1"/>
  <c r="F10" i="1"/>
  <c r="F341" i="1" s="1"/>
  <c r="F9" i="1"/>
  <c r="F8" i="1"/>
  <c r="E317" i="1"/>
  <c r="E316" i="1"/>
  <c r="E315" i="1"/>
  <c r="E314" i="1"/>
  <c r="E313" i="1"/>
  <c r="E310" i="1"/>
  <c r="E309" i="1"/>
  <c r="E308" i="1"/>
  <c r="E305" i="1"/>
  <c r="E289" i="1"/>
  <c r="E287" i="1"/>
  <c r="E283" i="1"/>
  <c r="E282" i="1"/>
  <c r="E281" i="1"/>
  <c r="E277" i="1"/>
  <c r="E275" i="1"/>
  <c r="E271" i="1"/>
  <c r="E270" i="1"/>
  <c r="E269" i="1"/>
  <c r="E265" i="1"/>
  <c r="E263" i="1"/>
  <c r="E259" i="1"/>
  <c r="E258" i="1"/>
  <c r="E257" i="1"/>
  <c r="E249" i="1"/>
  <c r="E247" i="1"/>
  <c r="E241" i="1"/>
  <c r="E240" i="1"/>
  <c r="E239" i="1"/>
  <c r="E237" i="1"/>
  <c r="E236" i="1"/>
  <c r="E235" i="1"/>
  <c r="E234" i="1"/>
  <c r="E227" i="1"/>
  <c r="E226" i="1"/>
  <c r="E225" i="1"/>
  <c r="E218" i="1"/>
  <c r="E217" i="1"/>
  <c r="E215" i="1"/>
  <c r="E214" i="1"/>
  <c r="E213" i="1"/>
  <c r="E209" i="1"/>
  <c r="E208" i="1"/>
  <c r="E202" i="1"/>
  <c r="E201" i="1"/>
  <c r="E200" i="1"/>
  <c r="E199" i="1"/>
  <c r="E195" i="1"/>
  <c r="E194" i="1"/>
  <c r="E188" i="1"/>
  <c r="E187" i="1"/>
  <c r="E186" i="1"/>
  <c r="E185" i="1"/>
  <c r="E113" i="1"/>
  <c r="E112" i="1"/>
  <c r="E111" i="1"/>
  <c r="E110" i="1"/>
  <c r="E109" i="1"/>
  <c r="E108" i="1"/>
  <c r="E107" i="1"/>
  <c r="E103" i="1"/>
  <c r="E102" i="1"/>
  <c r="E101" i="1"/>
  <c r="E100" i="1"/>
  <c r="E99" i="1"/>
  <c r="E98" i="1"/>
  <c r="E97" i="1"/>
  <c r="E86" i="1"/>
  <c r="E92" i="1"/>
  <c r="E91" i="1"/>
  <c r="E346" i="1"/>
  <c r="E89" i="1"/>
  <c r="E88" i="1"/>
  <c r="E87" i="1"/>
  <c r="E95" i="1"/>
  <c r="E82" i="1"/>
  <c r="E81" i="1"/>
  <c r="E80" i="1"/>
  <c r="E79" i="1"/>
  <c r="E78" i="1"/>
  <c r="E77" i="1"/>
  <c r="E76" i="1"/>
  <c r="E74" i="1"/>
  <c r="E73" i="1"/>
  <c r="E72" i="1"/>
  <c r="E71" i="1"/>
  <c r="E70" i="1"/>
  <c r="E69" i="1"/>
  <c r="E68" i="1"/>
  <c r="E67" i="1"/>
  <c r="E56" i="1"/>
  <c r="E55" i="1"/>
  <c r="E52" i="1"/>
  <c r="E51" i="1"/>
  <c r="E50" i="1"/>
  <c r="E48" i="1"/>
  <c r="E47" i="1"/>
  <c r="E45" i="1"/>
  <c r="E44" i="1"/>
  <c r="E43" i="1"/>
  <c r="E42" i="1"/>
  <c r="E38" i="1"/>
  <c r="E35" i="1"/>
  <c r="E33" i="1"/>
  <c r="E32" i="1"/>
  <c r="E31" i="1"/>
  <c r="E28" i="1"/>
  <c r="E26" i="1"/>
  <c r="E20" i="1"/>
  <c r="E18" i="1"/>
  <c r="E17" i="1"/>
  <c r="E16" i="1"/>
  <c r="E10" i="1"/>
  <c r="E9" i="1"/>
  <c r="C34" i="1"/>
  <c r="E8" i="1"/>
  <c r="E349" i="1"/>
  <c r="E348" i="1"/>
  <c r="F346" i="1"/>
  <c r="F345" i="1"/>
  <c r="F347" i="1" s="1"/>
  <c r="E345" i="1"/>
  <c r="E341" i="1"/>
  <c r="D341" i="1"/>
  <c r="C341" i="1"/>
  <c r="B341" i="1"/>
  <c r="F342" i="1"/>
  <c r="E342" i="1"/>
  <c r="D342" i="1"/>
  <c r="C342" i="1"/>
  <c r="D349" i="1"/>
  <c r="D348" i="1"/>
  <c r="D347" i="1"/>
  <c r="D346" i="1"/>
  <c r="D345" i="1"/>
  <c r="D317" i="1"/>
  <c r="D316" i="1"/>
  <c r="D315" i="1"/>
  <c r="D314" i="1"/>
  <c r="D313" i="1"/>
  <c r="D310" i="1"/>
  <c r="D309" i="1"/>
  <c r="D308" i="1"/>
  <c r="D305" i="1"/>
  <c r="D289" i="1"/>
  <c r="D287" i="1"/>
  <c r="D283" i="1"/>
  <c r="D282" i="1"/>
  <c r="D281" i="1"/>
  <c r="D277" i="1"/>
  <c r="D275" i="1"/>
  <c r="D271" i="1"/>
  <c r="D270" i="1"/>
  <c r="D269" i="1"/>
  <c r="D265" i="1"/>
  <c r="D263" i="1"/>
  <c r="D259" i="1"/>
  <c r="D258" i="1"/>
  <c r="D257" i="1"/>
  <c r="D234" i="1"/>
  <c r="D249" i="1"/>
  <c r="D247" i="1"/>
  <c r="D244" i="1"/>
  <c r="D241" i="1"/>
  <c r="D240" i="1"/>
  <c r="D239" i="1"/>
  <c r="D237" i="1"/>
  <c r="D236" i="1"/>
  <c r="D235" i="1"/>
  <c r="D227" i="1"/>
  <c r="D226" i="1"/>
  <c r="D225" i="1"/>
  <c r="D221" i="1"/>
  <c r="D218" i="1"/>
  <c r="D217" i="1"/>
  <c r="D215" i="1"/>
  <c r="D214" i="1"/>
  <c r="D213" i="1"/>
  <c r="D209" i="1"/>
  <c r="D208" i="1"/>
  <c r="D205" i="1"/>
  <c r="D202" i="1"/>
  <c r="D201" i="1"/>
  <c r="D200" i="1"/>
  <c r="D199" i="1"/>
  <c r="D195" i="1"/>
  <c r="D194" i="1"/>
  <c r="D190" i="1"/>
  <c r="D188" i="1"/>
  <c r="D187" i="1"/>
  <c r="D186" i="1"/>
  <c r="D185" i="1"/>
  <c r="D113" i="1"/>
  <c r="D112" i="1"/>
  <c r="D111" i="1"/>
  <c r="D110" i="1"/>
  <c r="D109" i="1"/>
  <c r="D108" i="1"/>
  <c r="D107" i="1"/>
  <c r="D103" i="1"/>
  <c r="D102" i="1"/>
  <c r="D101" i="1"/>
  <c r="D100" i="1"/>
  <c r="D99" i="1"/>
  <c r="D98" i="1"/>
  <c r="D97" i="1"/>
  <c r="D95" i="1"/>
  <c r="D92" i="1"/>
  <c r="D91" i="1"/>
  <c r="D89" i="1"/>
  <c r="D88" i="1"/>
  <c r="D87" i="1"/>
  <c r="D86" i="1"/>
  <c r="D82" i="1"/>
  <c r="D81" i="1"/>
  <c r="D80" i="1"/>
  <c r="D79" i="1"/>
  <c r="D78" i="1"/>
  <c r="D77" i="1"/>
  <c r="D76" i="1"/>
  <c r="D74" i="1"/>
  <c r="D73" i="1"/>
  <c r="D72" i="1"/>
  <c r="D71" i="1"/>
  <c r="D70" i="1"/>
  <c r="D69" i="1"/>
  <c r="D68" i="1"/>
  <c r="C72" i="1"/>
  <c r="C71" i="1"/>
  <c r="C70" i="1"/>
  <c r="B72" i="1"/>
  <c r="B71" i="1"/>
  <c r="B70" i="1"/>
  <c r="D67" i="1"/>
  <c r="D56" i="1"/>
  <c r="D55" i="1"/>
  <c r="D52" i="1"/>
  <c r="D51" i="1"/>
  <c r="D50" i="1"/>
  <c r="D48" i="1"/>
  <c r="D47" i="1"/>
  <c r="D45" i="1"/>
  <c r="D44" i="1"/>
  <c r="D43" i="1"/>
  <c r="D42" i="1"/>
  <c r="D38" i="1"/>
  <c r="D35" i="1"/>
  <c r="D33" i="1"/>
  <c r="D32" i="1"/>
  <c r="D31" i="1"/>
  <c r="D28" i="1"/>
  <c r="D26" i="1"/>
  <c r="D20" i="1"/>
  <c r="D18" i="1"/>
  <c r="D17" i="1"/>
  <c r="D16" i="1"/>
  <c r="D10" i="1"/>
  <c r="D9" i="1"/>
  <c r="D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AS144" i="1"/>
  <c r="AS173" i="1" s="1"/>
  <c r="AR144" i="1"/>
  <c r="AR173" i="1" s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AQ342" i="1"/>
  <c r="AN342" i="1"/>
  <c r="AM342" i="1"/>
  <c r="AJ342" i="1"/>
  <c r="AI342" i="1"/>
  <c r="AF342" i="1"/>
  <c r="AE342" i="1"/>
  <c r="AB342" i="1"/>
  <c r="AA342" i="1"/>
  <c r="X342" i="1"/>
  <c r="W342" i="1"/>
  <c r="C305" i="1"/>
  <c r="C111" i="1"/>
  <c r="C98" i="1"/>
  <c r="C99" i="1"/>
  <c r="C100" i="1"/>
  <c r="C101" i="1"/>
  <c r="C102" i="1"/>
  <c r="C107" i="1"/>
  <c r="C108" i="1"/>
  <c r="C109" i="1"/>
  <c r="C97" i="1"/>
  <c r="C346" i="1" s="1"/>
  <c r="C92" i="1"/>
  <c r="C91" i="1"/>
  <c r="C89" i="1"/>
  <c r="C88" i="1"/>
  <c r="C87" i="1"/>
  <c r="C86" i="1"/>
  <c r="C81" i="1"/>
  <c r="C80" i="1"/>
  <c r="C79" i="1"/>
  <c r="C78" i="1"/>
  <c r="C77" i="1"/>
  <c r="C76" i="1"/>
  <c r="C73" i="1"/>
  <c r="C69" i="1"/>
  <c r="C68" i="1"/>
  <c r="C67" i="1"/>
  <c r="C345" i="1" s="1"/>
  <c r="C316" i="1"/>
  <c r="C287" i="1"/>
  <c r="C282" i="1"/>
  <c r="C315" i="1" s="1"/>
  <c r="C281" i="1"/>
  <c r="C257" i="1"/>
  <c r="C258" i="1"/>
  <c r="C313" i="1" s="1"/>
  <c r="C263" i="1"/>
  <c r="C269" i="1"/>
  <c r="C270" i="1"/>
  <c r="C314" i="1" s="1"/>
  <c r="C275" i="1"/>
  <c r="C289" i="1"/>
  <c r="C277" i="1"/>
  <c r="C265" i="1"/>
  <c r="C222" i="1"/>
  <c r="C224" i="1"/>
  <c r="C225" i="1"/>
  <c r="C226" i="1"/>
  <c r="C235" i="1"/>
  <c r="C236" i="1"/>
  <c r="C237" i="1"/>
  <c r="C239" i="1"/>
  <c r="C240" i="1"/>
  <c r="C241" i="1"/>
  <c r="C243" i="1"/>
  <c r="C244" i="1"/>
  <c r="C245" i="1"/>
  <c r="C246" i="1"/>
  <c r="C247" i="1"/>
  <c r="C207" i="1"/>
  <c r="C208" i="1"/>
  <c r="C221" i="1"/>
  <c r="C220" i="1"/>
  <c r="C218" i="1"/>
  <c r="C217" i="1"/>
  <c r="C215" i="1"/>
  <c r="C214" i="1"/>
  <c r="C206" i="1"/>
  <c r="C205" i="1"/>
  <c r="C204" i="1"/>
  <c r="C202" i="1"/>
  <c r="C201" i="1"/>
  <c r="C200" i="1"/>
  <c r="C194" i="1"/>
  <c r="C193" i="1"/>
  <c r="C192" i="1"/>
  <c r="C191" i="1"/>
  <c r="C190" i="1"/>
  <c r="C188" i="1"/>
  <c r="C187" i="1"/>
  <c r="C186" i="1"/>
  <c r="C48" i="1"/>
  <c r="C51" i="1"/>
  <c r="C44" i="1"/>
  <c r="C43" i="1"/>
  <c r="C42" i="1"/>
  <c r="C33" i="1"/>
  <c r="C32" i="1"/>
  <c r="C31" i="1"/>
  <c r="C28" i="1"/>
  <c r="C26" i="1"/>
  <c r="C17" i="1"/>
  <c r="C16" i="1"/>
  <c r="C9" i="1"/>
  <c r="C8" i="1"/>
  <c r="B305" i="1"/>
  <c r="B316" i="1"/>
  <c r="B289" i="1"/>
  <c r="B287" i="1"/>
  <c r="B282" i="1"/>
  <c r="B315" i="1" s="1"/>
  <c r="B281" i="1"/>
  <c r="B277" i="1"/>
  <c r="B275" i="1"/>
  <c r="B270" i="1"/>
  <c r="B314" i="1" s="1"/>
  <c r="B269" i="1"/>
  <c r="B265" i="1"/>
  <c r="B263" i="1"/>
  <c r="B258" i="1"/>
  <c r="B313" i="1" s="1"/>
  <c r="B257" i="1"/>
  <c r="B247" i="1"/>
  <c r="B241" i="1"/>
  <c r="B240" i="1"/>
  <c r="B239" i="1"/>
  <c r="B238" i="1"/>
  <c r="B237" i="1"/>
  <c r="B236" i="1"/>
  <c r="B235" i="1"/>
  <c r="B226" i="1"/>
  <c r="B225" i="1"/>
  <c r="B218" i="1"/>
  <c r="B217" i="1"/>
  <c r="B216" i="1"/>
  <c r="B215" i="1"/>
  <c r="B214" i="1"/>
  <c r="B208" i="1"/>
  <c r="B202" i="1"/>
  <c r="B201" i="1"/>
  <c r="B200" i="1"/>
  <c r="B194" i="1"/>
  <c r="B188" i="1"/>
  <c r="B187" i="1"/>
  <c r="B186" i="1"/>
  <c r="B111" i="1"/>
  <c r="B109" i="1"/>
  <c r="B108" i="1"/>
  <c r="B107" i="1"/>
  <c r="B102" i="1"/>
  <c r="B101" i="1"/>
  <c r="B100" i="1"/>
  <c r="B99" i="1"/>
  <c r="B98" i="1"/>
  <c r="B97" i="1"/>
  <c r="B346" i="1" s="1"/>
  <c r="B92" i="1"/>
  <c r="B91" i="1"/>
  <c r="B89" i="1"/>
  <c r="B88" i="1"/>
  <c r="B87" i="1"/>
  <c r="B86" i="1"/>
  <c r="B81" i="1"/>
  <c r="B80" i="1"/>
  <c r="B79" i="1"/>
  <c r="B78" i="1"/>
  <c r="B77" i="1"/>
  <c r="B76" i="1"/>
  <c r="B73" i="1"/>
  <c r="B69" i="1"/>
  <c r="B68" i="1"/>
  <c r="B67" i="1"/>
  <c r="B345" i="1" s="1"/>
  <c r="B51" i="1"/>
  <c r="B48" i="1"/>
  <c r="B44" i="1"/>
  <c r="B43" i="1"/>
  <c r="B42" i="1"/>
  <c r="B33" i="1"/>
  <c r="B32" i="1"/>
  <c r="B31" i="1"/>
  <c r="B28" i="1"/>
  <c r="B26" i="1"/>
  <c r="B17" i="1"/>
  <c r="B16" i="1"/>
  <c r="B9" i="1"/>
  <c r="B8" i="1"/>
  <c r="AQ167" i="1"/>
  <c r="AQ163" i="1"/>
  <c r="AQ162" i="1"/>
  <c r="AQ161" i="1"/>
  <c r="AQ160" i="1"/>
  <c r="AQ156" i="1"/>
  <c r="AQ155" i="1"/>
  <c r="AQ154" i="1"/>
  <c r="AQ150" i="1"/>
  <c r="AQ149" i="1"/>
  <c r="AQ148" i="1"/>
  <c r="AQ174" i="1" s="1"/>
  <c r="AQ151" i="1"/>
  <c r="AQ143" i="1"/>
  <c r="AQ142" i="1"/>
  <c r="AQ141" i="1"/>
  <c r="AQ140" i="1"/>
  <c r="AQ139" i="1"/>
  <c r="AQ138" i="1"/>
  <c r="AQ137" i="1"/>
  <c r="AQ136" i="1"/>
  <c r="AQ135" i="1"/>
  <c r="AQ134" i="1"/>
  <c r="AQ132" i="1"/>
  <c r="AQ131" i="1"/>
  <c r="AQ128" i="1"/>
  <c r="AQ127" i="1"/>
  <c r="AQ126" i="1"/>
  <c r="AQ124" i="1"/>
  <c r="AQ123" i="1"/>
  <c r="AQ122" i="1"/>
  <c r="S174" i="1"/>
  <c r="S164" i="1"/>
  <c r="S151" i="1"/>
  <c r="AO340" i="1"/>
  <c r="AO339" i="1"/>
  <c r="AP342" i="1" s="1"/>
  <c r="AO338" i="1"/>
  <c r="AO333" i="1"/>
  <c r="AO331" i="1"/>
  <c r="AO329" i="1"/>
  <c r="AO305" i="1"/>
  <c r="F335" i="1"/>
  <c r="AQ295" i="1"/>
  <c r="AP295" i="1"/>
  <c r="AO295" i="1"/>
  <c r="AO161" i="1"/>
  <c r="AO149" i="1"/>
  <c r="AO147" i="1"/>
  <c r="F174" i="1"/>
  <c r="F164" i="1"/>
  <c r="F151" i="1"/>
  <c r="AM167" i="1"/>
  <c r="AO167" i="1" s="1"/>
  <c r="AM163" i="1"/>
  <c r="AO163" i="1" s="1"/>
  <c r="AM162" i="1"/>
  <c r="AO162" i="1" s="1"/>
  <c r="AM156" i="1"/>
  <c r="AM150" i="1"/>
  <c r="AO150" i="1" s="1"/>
  <c r="AM148" i="1"/>
  <c r="AM151" i="1"/>
  <c r="AM143" i="1"/>
  <c r="AO143" i="1" s="1"/>
  <c r="AM142" i="1"/>
  <c r="AO142" i="1" s="1"/>
  <c r="AM141" i="1"/>
  <c r="AO141" i="1" s="1"/>
  <c r="AM140" i="1"/>
  <c r="AO140" i="1" s="1"/>
  <c r="AM139" i="1"/>
  <c r="AO139" i="1" s="1"/>
  <c r="AM138" i="1"/>
  <c r="AO138" i="1" s="1"/>
  <c r="AM137" i="1"/>
  <c r="AO137" i="1" s="1"/>
  <c r="AM136" i="1"/>
  <c r="AO136" i="1" s="1"/>
  <c r="AM135" i="1"/>
  <c r="AO135" i="1" s="1"/>
  <c r="AM134" i="1"/>
  <c r="AO134" i="1" s="1"/>
  <c r="AM132" i="1"/>
  <c r="AO132" i="1" s="1"/>
  <c r="AM131" i="1"/>
  <c r="AO131" i="1" s="1"/>
  <c r="AM128" i="1"/>
  <c r="AO128" i="1" s="1"/>
  <c r="AM127" i="1"/>
  <c r="AO127" i="1" s="1"/>
  <c r="AM126" i="1"/>
  <c r="AO126" i="1" s="1"/>
  <c r="AM124" i="1"/>
  <c r="AM123" i="1"/>
  <c r="AO123" i="1" s="1"/>
  <c r="AM122" i="1"/>
  <c r="AO122" i="1" s="1"/>
  <c r="Q174" i="1"/>
  <c r="Q164" i="1"/>
  <c r="Q151" i="1"/>
  <c r="AK333" i="1"/>
  <c r="AK331" i="1"/>
  <c r="AK329" i="1"/>
  <c r="AK335" i="1" s="1"/>
  <c r="AK340" i="1"/>
  <c r="AK339" i="1"/>
  <c r="AL342" i="1" s="1"/>
  <c r="AK338" i="1"/>
  <c r="E335" i="1"/>
  <c r="AK149" i="1"/>
  <c r="E174" i="1"/>
  <c r="E164" i="1"/>
  <c r="E151" i="1"/>
  <c r="AI167" i="1"/>
  <c r="AK167" i="1" s="1"/>
  <c r="AI163" i="1"/>
  <c r="AK163" i="1" s="1"/>
  <c r="AI162" i="1"/>
  <c r="AK162" i="1" s="1"/>
  <c r="AI161" i="1"/>
  <c r="AK161" i="1" s="1"/>
  <c r="AI160" i="1"/>
  <c r="AK160" i="1" s="1"/>
  <c r="AI156" i="1"/>
  <c r="AK156" i="1" s="1"/>
  <c r="AI154" i="1"/>
  <c r="AK154" i="1" s="1"/>
  <c r="AI150" i="1"/>
  <c r="AK150" i="1" s="1"/>
  <c r="AI148" i="1"/>
  <c r="AI147" i="1"/>
  <c r="AI143" i="1"/>
  <c r="AK143" i="1" s="1"/>
  <c r="AI142" i="1"/>
  <c r="AK142" i="1" s="1"/>
  <c r="AI141" i="1"/>
  <c r="AK141" i="1" s="1"/>
  <c r="AI140" i="1"/>
  <c r="AK140" i="1" s="1"/>
  <c r="AI139" i="1"/>
  <c r="AK139" i="1" s="1"/>
  <c r="AI138" i="1"/>
  <c r="AK138" i="1" s="1"/>
  <c r="AI137" i="1"/>
  <c r="AK137" i="1" s="1"/>
  <c r="AI136" i="1"/>
  <c r="AK136" i="1" s="1"/>
  <c r="AI135" i="1"/>
  <c r="AK135" i="1" s="1"/>
  <c r="AI134" i="1"/>
  <c r="AK134" i="1" s="1"/>
  <c r="AI132" i="1"/>
  <c r="AK132" i="1" s="1"/>
  <c r="AI131" i="1"/>
  <c r="AK131" i="1" s="1"/>
  <c r="AI128" i="1"/>
  <c r="AK128" i="1" s="1"/>
  <c r="AI127" i="1"/>
  <c r="AK127" i="1" s="1"/>
  <c r="AI126" i="1"/>
  <c r="AK126" i="1" s="1"/>
  <c r="AI124" i="1"/>
  <c r="AI123" i="1"/>
  <c r="AK123" i="1" s="1"/>
  <c r="AI122" i="1"/>
  <c r="AK122" i="1" s="1"/>
  <c r="O174" i="1"/>
  <c r="O164" i="1"/>
  <c r="O151" i="1"/>
  <c r="AG340" i="1"/>
  <c r="AG339" i="1"/>
  <c r="AH342" i="1" s="1"/>
  <c r="AG338" i="1"/>
  <c r="AG333" i="1"/>
  <c r="AG331" i="1"/>
  <c r="AG329" i="1"/>
  <c r="D335" i="1"/>
  <c r="D174" i="1"/>
  <c r="D164" i="1"/>
  <c r="I164" i="1"/>
  <c r="D151" i="1"/>
  <c r="AE167" i="1"/>
  <c r="AG167" i="1" s="1"/>
  <c r="AE163" i="1"/>
  <c r="AG163" i="1" s="1"/>
  <c r="AE162" i="1"/>
  <c r="AG162" i="1" s="1"/>
  <c r="AE156" i="1"/>
  <c r="AE150" i="1"/>
  <c r="AG150" i="1" s="1"/>
  <c r="AE148" i="1"/>
  <c r="AE147" i="1"/>
  <c r="AE143" i="1"/>
  <c r="AG143" i="1" s="1"/>
  <c r="AE142" i="1"/>
  <c r="AG142" i="1" s="1"/>
  <c r="AE141" i="1"/>
  <c r="AG141" i="1" s="1"/>
  <c r="AE140" i="1"/>
  <c r="AG140" i="1" s="1"/>
  <c r="AE139" i="1"/>
  <c r="AG139" i="1" s="1"/>
  <c r="AE123" i="1"/>
  <c r="AG123" i="1" s="1"/>
  <c r="AE138" i="1"/>
  <c r="AG138" i="1" s="1"/>
  <c r="AE137" i="1"/>
  <c r="AG137" i="1" s="1"/>
  <c r="AE136" i="1"/>
  <c r="AG136" i="1" s="1"/>
  <c r="AE135" i="1"/>
  <c r="AG135" i="1" s="1"/>
  <c r="AE134" i="1"/>
  <c r="AG134" i="1" s="1"/>
  <c r="AE132" i="1"/>
  <c r="AG132" i="1" s="1"/>
  <c r="AE131" i="1"/>
  <c r="AG131" i="1" s="1"/>
  <c r="AE128" i="1"/>
  <c r="AG128" i="1" s="1"/>
  <c r="AE127" i="1"/>
  <c r="AG127" i="1" s="1"/>
  <c r="AE126" i="1"/>
  <c r="AG126" i="1" s="1"/>
  <c r="AE124" i="1"/>
  <c r="AE122" i="1"/>
  <c r="AG122" i="1" s="1"/>
  <c r="M174" i="1"/>
  <c r="M164" i="1"/>
  <c r="M151" i="1"/>
  <c r="AC333" i="1"/>
  <c r="AC331" i="1"/>
  <c r="AC329" i="1"/>
  <c r="AC340" i="1"/>
  <c r="AC339" i="1"/>
  <c r="AD342" i="1" s="1"/>
  <c r="AC338" i="1"/>
  <c r="C335" i="1"/>
  <c r="AC142" i="1"/>
  <c r="C174" i="1"/>
  <c r="C164" i="1"/>
  <c r="C151" i="1"/>
  <c r="AA167" i="1"/>
  <c r="AC167" i="1" s="1"/>
  <c r="AA163" i="1"/>
  <c r="AC163" i="1" s="1"/>
  <c r="AA162" i="1"/>
  <c r="AC162" i="1" s="1"/>
  <c r="AA161" i="1"/>
  <c r="AC161" i="1" s="1"/>
  <c r="AA156" i="1"/>
  <c r="AA150" i="1"/>
  <c r="AC150" i="1" s="1"/>
  <c r="AA149" i="1"/>
  <c r="AC149" i="1" s="1"/>
  <c r="AA148" i="1"/>
  <c r="AA147" i="1"/>
  <c r="AA143" i="1"/>
  <c r="AC143" i="1" s="1"/>
  <c r="AA141" i="1"/>
  <c r="AC141" i="1" s="1"/>
  <c r="AA140" i="1"/>
  <c r="AC140" i="1" s="1"/>
  <c r="AA139" i="1"/>
  <c r="AC139" i="1" s="1"/>
  <c r="AA138" i="1"/>
  <c r="AC138" i="1" s="1"/>
  <c r="AA137" i="1"/>
  <c r="AC137" i="1" s="1"/>
  <c r="AA136" i="1"/>
  <c r="AC136" i="1" s="1"/>
  <c r="AA135" i="1"/>
  <c r="AC135" i="1" s="1"/>
  <c r="AA134" i="1"/>
  <c r="AC134" i="1" s="1"/>
  <c r="AA132" i="1"/>
  <c r="AC132" i="1" s="1"/>
  <c r="AA131" i="1"/>
  <c r="AC131" i="1" s="1"/>
  <c r="AA130" i="1"/>
  <c r="AC130" i="1" s="1"/>
  <c r="AA128" i="1"/>
  <c r="AC128" i="1" s="1"/>
  <c r="AA127" i="1"/>
  <c r="AC127" i="1" s="1"/>
  <c r="AA126" i="1"/>
  <c r="AC126" i="1" s="1"/>
  <c r="AA124" i="1"/>
  <c r="AA123" i="1"/>
  <c r="AC123" i="1" s="1"/>
  <c r="AA122" i="1"/>
  <c r="AC122" i="1" s="1"/>
  <c r="K174" i="1"/>
  <c r="K164" i="1"/>
  <c r="K151" i="1"/>
  <c r="AA35" i="1"/>
  <c r="Y340" i="1"/>
  <c r="Y339" i="1"/>
  <c r="Z342" i="1" s="1"/>
  <c r="Y338" i="1"/>
  <c r="Y333" i="1"/>
  <c r="Y331" i="1"/>
  <c r="Y329" i="1"/>
  <c r="B335" i="1"/>
  <c r="Y161" i="1"/>
  <c r="Y149" i="1"/>
  <c r="Y166" i="1"/>
  <c r="I174" i="1"/>
  <c r="B174" i="1"/>
  <c r="B169" i="1"/>
  <c r="B164" i="1"/>
  <c r="B151" i="1"/>
  <c r="AS271" i="1"/>
  <c r="AS278" i="1" s="1"/>
  <c r="AR271" i="1"/>
  <c r="AR278" i="1" s="1"/>
  <c r="AQ271" i="1"/>
  <c r="AQ278" i="1" s="1"/>
  <c r="AP271" i="1"/>
  <c r="AO271" i="1"/>
  <c r="AN271" i="1"/>
  <c r="AN274" i="1" s="1"/>
  <c r="AM271" i="1"/>
  <c r="AM274" i="1" s="1"/>
  <c r="AL271" i="1"/>
  <c r="AL274" i="1" s="1"/>
  <c r="AK271" i="1"/>
  <c r="AK274" i="1" s="1"/>
  <c r="AJ271" i="1"/>
  <c r="AJ274" i="1" s="1"/>
  <c r="AI271" i="1"/>
  <c r="AI274" i="1" s="1"/>
  <c r="AH271" i="1"/>
  <c r="AH274" i="1" s="1"/>
  <c r="AG271" i="1"/>
  <c r="AG274" i="1" s="1"/>
  <c r="AF271" i="1"/>
  <c r="AF274" i="1" s="1"/>
  <c r="AE271" i="1"/>
  <c r="AE274" i="1" s="1"/>
  <c r="AD271" i="1"/>
  <c r="AD274" i="1" s="1"/>
  <c r="AC271" i="1"/>
  <c r="AC274" i="1" s="1"/>
  <c r="AB271" i="1"/>
  <c r="AA271" i="1"/>
  <c r="Z271" i="1"/>
  <c r="C271" i="1" s="1"/>
  <c r="Y271" i="1"/>
  <c r="AS283" i="1"/>
  <c r="AR283" i="1"/>
  <c r="AQ283" i="1"/>
  <c r="AP283" i="1"/>
  <c r="AP286" i="1" s="1"/>
  <c r="AO283" i="1"/>
  <c r="AO286" i="1" s="1"/>
  <c r="AN283" i="1"/>
  <c r="AN286" i="1" s="1"/>
  <c r="AM283" i="1"/>
  <c r="AL283" i="1"/>
  <c r="AK283" i="1"/>
  <c r="AJ283" i="1"/>
  <c r="AI283" i="1"/>
  <c r="AI286" i="1" s="1"/>
  <c r="AH283" i="1"/>
  <c r="AH286" i="1" s="1"/>
  <c r="AG283" i="1"/>
  <c r="AG286" i="1" s="1"/>
  <c r="AF283" i="1"/>
  <c r="AF286" i="1" s="1"/>
  <c r="AE283" i="1"/>
  <c r="AE286" i="1" s="1"/>
  <c r="AD283" i="1"/>
  <c r="AD286" i="1" s="1"/>
  <c r="AC283" i="1"/>
  <c r="AC286" i="1" s="1"/>
  <c r="AB283" i="1"/>
  <c r="AB286" i="1" s="1"/>
  <c r="AA283" i="1"/>
  <c r="AA286" i="1" s="1"/>
  <c r="Z283" i="1"/>
  <c r="Y283" i="1"/>
  <c r="Y286" i="1" s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AS335" i="1"/>
  <c r="AR335" i="1"/>
  <c r="AQ335" i="1"/>
  <c r="AP335" i="1"/>
  <c r="AN335" i="1"/>
  <c r="AM335" i="1"/>
  <c r="AL335" i="1"/>
  <c r="AJ335" i="1"/>
  <c r="AI335" i="1"/>
  <c r="AH335" i="1"/>
  <c r="AF335" i="1"/>
  <c r="AE335" i="1"/>
  <c r="AD335" i="1"/>
  <c r="AB335" i="1"/>
  <c r="AA335" i="1"/>
  <c r="Z335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6" i="1"/>
  <c r="X345" i="1"/>
  <c r="X335" i="1"/>
  <c r="X316" i="1"/>
  <c r="X315" i="1"/>
  <c r="X314" i="1"/>
  <c r="X313" i="1"/>
  <c r="X283" i="1"/>
  <c r="X271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AS174" i="1"/>
  <c r="AR174" i="1"/>
  <c r="AP174" i="1"/>
  <c r="AN174" i="1"/>
  <c r="AL174" i="1"/>
  <c r="AJ174" i="1"/>
  <c r="AH174" i="1"/>
  <c r="AF174" i="1"/>
  <c r="AD174" i="1"/>
  <c r="AB174" i="1"/>
  <c r="Z174" i="1"/>
  <c r="X174" i="1"/>
  <c r="AS164" i="1"/>
  <c r="AR164" i="1"/>
  <c r="AP164" i="1"/>
  <c r="AN164" i="1"/>
  <c r="AL164" i="1"/>
  <c r="AJ164" i="1"/>
  <c r="AH164" i="1"/>
  <c r="AF164" i="1"/>
  <c r="AD164" i="1"/>
  <c r="AB164" i="1"/>
  <c r="Z164" i="1"/>
  <c r="X164" i="1"/>
  <c r="AS151" i="1"/>
  <c r="AR151" i="1"/>
  <c r="AP151" i="1"/>
  <c r="AN151" i="1"/>
  <c r="AL151" i="1"/>
  <c r="AJ151" i="1"/>
  <c r="AH151" i="1"/>
  <c r="AF151" i="1"/>
  <c r="AD151" i="1"/>
  <c r="AB151" i="1"/>
  <c r="Z151" i="1"/>
  <c r="X151" i="1"/>
  <c r="AS110" i="1"/>
  <c r="AS112" i="1" s="1"/>
  <c r="AR110" i="1"/>
  <c r="AR112" i="1" s="1"/>
  <c r="AQ110" i="1"/>
  <c r="AQ112" i="1" s="1"/>
  <c r="AP110" i="1"/>
  <c r="AP112" i="1" s="1"/>
  <c r="AO110" i="1"/>
  <c r="AO112" i="1" s="1"/>
  <c r="AN110" i="1"/>
  <c r="AN112" i="1" s="1"/>
  <c r="AM110" i="1"/>
  <c r="AM112" i="1" s="1"/>
  <c r="AL110" i="1"/>
  <c r="AL112" i="1" s="1"/>
  <c r="AK110" i="1"/>
  <c r="AK112" i="1" s="1"/>
  <c r="AJ110" i="1"/>
  <c r="AJ112" i="1" s="1"/>
  <c r="AI110" i="1"/>
  <c r="AI112" i="1" s="1"/>
  <c r="AH110" i="1"/>
  <c r="AH112" i="1" s="1"/>
  <c r="AG110" i="1"/>
  <c r="AG112" i="1" s="1"/>
  <c r="AF110" i="1"/>
  <c r="AF112" i="1" s="1"/>
  <c r="AE110" i="1"/>
  <c r="AE112" i="1" s="1"/>
  <c r="AD110" i="1"/>
  <c r="AD112" i="1" s="1"/>
  <c r="AC110" i="1"/>
  <c r="AB110" i="1"/>
  <c r="AB112" i="1" s="1"/>
  <c r="AA110" i="1"/>
  <c r="AA112" i="1" s="1"/>
  <c r="Z110" i="1"/>
  <c r="Z112" i="1" s="1"/>
  <c r="Y110" i="1"/>
  <c r="X110" i="1"/>
  <c r="X112" i="1" s="1"/>
  <c r="AS95" i="1"/>
  <c r="AS103" i="1" s="1"/>
  <c r="AR95" i="1"/>
  <c r="AR103" i="1" s="1"/>
  <c r="AQ95" i="1"/>
  <c r="AQ103" i="1" s="1"/>
  <c r="AP95" i="1"/>
  <c r="AP103" i="1" s="1"/>
  <c r="AO95" i="1"/>
  <c r="AO103" i="1" s="1"/>
  <c r="AN95" i="1"/>
  <c r="AN103" i="1" s="1"/>
  <c r="AM95" i="1"/>
  <c r="AM103" i="1" s="1"/>
  <c r="AL95" i="1"/>
  <c r="AL103" i="1" s="1"/>
  <c r="AK95" i="1"/>
  <c r="AK103" i="1" s="1"/>
  <c r="AJ95" i="1"/>
  <c r="AJ103" i="1" s="1"/>
  <c r="AI95" i="1"/>
  <c r="AI103" i="1" s="1"/>
  <c r="AH95" i="1"/>
  <c r="AH103" i="1" s="1"/>
  <c r="AG95" i="1"/>
  <c r="AG103" i="1" s="1"/>
  <c r="AF95" i="1"/>
  <c r="AF103" i="1" s="1"/>
  <c r="AE95" i="1"/>
  <c r="AE103" i="1" s="1"/>
  <c r="AD95" i="1"/>
  <c r="AD103" i="1" s="1"/>
  <c r="AC95" i="1"/>
  <c r="AB95" i="1"/>
  <c r="AB103" i="1" s="1"/>
  <c r="AA95" i="1"/>
  <c r="AA103" i="1" s="1"/>
  <c r="Z95" i="1"/>
  <c r="Z103" i="1" s="1"/>
  <c r="Y95" i="1"/>
  <c r="X95" i="1"/>
  <c r="X103" i="1" s="1"/>
  <c r="C74" i="1"/>
  <c r="B74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Z35" i="1"/>
  <c r="Y35" i="1"/>
  <c r="X35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C18" i="1" s="1"/>
  <c r="Y18" i="1"/>
  <c r="X18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X125" i="1" s="1"/>
  <c r="W167" i="1"/>
  <c r="Y167" i="1" s="1"/>
  <c r="W163" i="1"/>
  <c r="Y163" i="1" s="1"/>
  <c r="W162" i="1"/>
  <c r="Y162" i="1" s="1"/>
  <c r="W159" i="1"/>
  <c r="Y159" i="1" s="1"/>
  <c r="W158" i="1"/>
  <c r="Y158" i="1" s="1"/>
  <c r="W157" i="1"/>
  <c r="Y157" i="1" s="1"/>
  <c r="W156" i="1"/>
  <c r="Y156" i="1" s="1"/>
  <c r="W155" i="1"/>
  <c r="Y155" i="1" s="1"/>
  <c r="W154" i="1"/>
  <c r="Y154" i="1" s="1"/>
  <c r="W150" i="1"/>
  <c r="Y150" i="1" s="1"/>
  <c r="W148" i="1"/>
  <c r="W147" i="1"/>
  <c r="W143" i="1"/>
  <c r="Y143" i="1" s="1"/>
  <c r="W141" i="1"/>
  <c r="Y141" i="1" s="1"/>
  <c r="W140" i="1"/>
  <c r="Y140" i="1" s="1"/>
  <c r="W139" i="1"/>
  <c r="Y139" i="1" s="1"/>
  <c r="W138" i="1"/>
  <c r="Y138" i="1" s="1"/>
  <c r="W137" i="1"/>
  <c r="Y137" i="1" s="1"/>
  <c r="W136" i="1"/>
  <c r="Y136" i="1" s="1"/>
  <c r="W135" i="1"/>
  <c r="Y135" i="1" s="1"/>
  <c r="W134" i="1"/>
  <c r="Y134" i="1" s="1"/>
  <c r="W132" i="1"/>
  <c r="Y132" i="1" s="1"/>
  <c r="W131" i="1"/>
  <c r="Y131" i="1" s="1"/>
  <c r="W129" i="1"/>
  <c r="Y129" i="1" s="1"/>
  <c r="W128" i="1"/>
  <c r="Y128" i="1" s="1"/>
  <c r="W127" i="1"/>
  <c r="Y127" i="1" s="1"/>
  <c r="W126" i="1"/>
  <c r="Y126" i="1" s="1"/>
  <c r="W124" i="1"/>
  <c r="W123" i="1"/>
  <c r="Y123" i="1" s="1"/>
  <c r="W122" i="1"/>
  <c r="Y122" i="1" s="1"/>
  <c r="W346" i="1"/>
  <c r="W345" i="1"/>
  <c r="W335" i="1"/>
  <c r="W316" i="1"/>
  <c r="W315" i="1"/>
  <c r="W314" i="1"/>
  <c r="W313" i="1"/>
  <c r="W283" i="1"/>
  <c r="W271" i="1"/>
  <c r="W259" i="1"/>
  <c r="I169" i="1"/>
  <c r="I151" i="1"/>
  <c r="W110" i="1"/>
  <c r="W112" i="1" s="1"/>
  <c r="W95" i="1"/>
  <c r="W103" i="1" s="1"/>
  <c r="W45" i="1"/>
  <c r="W35" i="1"/>
  <c r="W18" i="1"/>
  <c r="W10" i="1"/>
  <c r="V346" i="1"/>
  <c r="V345" i="1"/>
  <c r="V335" i="1"/>
  <c r="V316" i="1"/>
  <c r="V315" i="1"/>
  <c r="V314" i="1"/>
  <c r="V313" i="1"/>
  <c r="V283" i="1"/>
  <c r="V271" i="1"/>
  <c r="V259" i="1"/>
  <c r="V174" i="1"/>
  <c r="V164" i="1"/>
  <c r="V151" i="1"/>
  <c r="V110" i="1"/>
  <c r="V112" i="1" s="1"/>
  <c r="V95" i="1"/>
  <c r="V103" i="1" s="1"/>
  <c r="V45" i="1"/>
  <c r="V35" i="1"/>
  <c r="V185" i="1" s="1"/>
  <c r="V195" i="1" s="1"/>
  <c r="V18" i="1"/>
  <c r="V10" i="1"/>
  <c r="V125" i="1" s="1"/>
  <c r="F349" i="1" l="1"/>
  <c r="F348" i="1"/>
  <c r="E347" i="1"/>
  <c r="B259" i="1"/>
  <c r="AM11" i="1"/>
  <c r="AE11" i="1"/>
  <c r="Z11" i="1"/>
  <c r="AP11" i="1"/>
  <c r="AA11" i="1"/>
  <c r="AI11" i="1"/>
  <c r="AO11" i="1"/>
  <c r="X317" i="1"/>
  <c r="X318" i="1" s="1"/>
  <c r="AQ341" i="1"/>
  <c r="AQ11" i="1"/>
  <c r="AN125" i="1"/>
  <c r="AN11" i="1"/>
  <c r="AL125" i="1"/>
  <c r="AL11" i="1"/>
  <c r="AK11" i="1"/>
  <c r="AJ125" i="1"/>
  <c r="AJ11" i="1"/>
  <c r="AH125" i="1"/>
  <c r="AH11" i="1"/>
  <c r="AG11" i="1"/>
  <c r="AF125" i="1"/>
  <c r="AF11" i="1"/>
  <c r="AD125" i="1"/>
  <c r="AD11" i="1"/>
  <c r="AC11" i="1"/>
  <c r="AB125" i="1"/>
  <c r="AB11" i="1"/>
  <c r="AQ175" i="1"/>
  <c r="AP175" i="1"/>
  <c r="AN175" i="1"/>
  <c r="AL175" i="1"/>
  <c r="AJ175" i="1"/>
  <c r="AH175" i="1"/>
  <c r="AF175" i="1"/>
  <c r="AD175" i="1"/>
  <c r="AB175" i="1"/>
  <c r="Z175" i="1"/>
  <c r="X175" i="1"/>
  <c r="V175" i="1"/>
  <c r="B317" i="1"/>
  <c r="AQ125" i="1"/>
  <c r="B45" i="1"/>
  <c r="B18" i="1"/>
  <c r="AO124" i="1"/>
  <c r="AO125" i="1" s="1"/>
  <c r="AM125" i="1"/>
  <c r="AK124" i="1"/>
  <c r="AK125" i="1" s="1"/>
  <c r="AI125" i="1"/>
  <c r="AG124" i="1"/>
  <c r="AG125" i="1" s="1"/>
  <c r="AE125" i="1"/>
  <c r="AC124" i="1"/>
  <c r="AC125" i="1" s="1"/>
  <c r="AA125" i="1"/>
  <c r="AP341" i="1"/>
  <c r="AP125" i="1"/>
  <c r="Z341" i="1"/>
  <c r="Z125" i="1"/>
  <c r="Y124" i="1"/>
  <c r="Y125" i="1" s="1"/>
  <c r="W125" i="1"/>
  <c r="C259" i="1"/>
  <c r="B347" i="1"/>
  <c r="W317" i="1"/>
  <c r="W318" i="1" s="1"/>
  <c r="B283" i="1"/>
  <c r="B271" i="1"/>
  <c r="C35" i="1"/>
  <c r="AO342" i="1"/>
  <c r="AO341" i="1"/>
  <c r="AK341" i="1"/>
  <c r="AK342" i="1"/>
  <c r="AG342" i="1"/>
  <c r="AG341" i="1"/>
  <c r="AC342" i="1"/>
  <c r="AC341" i="1"/>
  <c r="Y342" i="1"/>
  <c r="Y341" i="1"/>
  <c r="AS351" i="1"/>
  <c r="AS341" i="1"/>
  <c r="AR351" i="1"/>
  <c r="AR341" i="1"/>
  <c r="AN341" i="1"/>
  <c r="AM341" i="1"/>
  <c r="AL341" i="1"/>
  <c r="AJ341" i="1"/>
  <c r="AI341" i="1"/>
  <c r="AH341" i="1"/>
  <c r="AF341" i="1"/>
  <c r="AE341" i="1"/>
  <c r="AD341" i="1"/>
  <c r="AB341" i="1"/>
  <c r="AA341" i="1"/>
  <c r="X341" i="1"/>
  <c r="W341" i="1"/>
  <c r="B10" i="1"/>
  <c r="B309" i="1" s="1"/>
  <c r="V341" i="1"/>
  <c r="C45" i="1"/>
  <c r="AQ164" i="1"/>
  <c r="AG156" i="1"/>
  <c r="AG164" i="1" s="1"/>
  <c r="AE164" i="1"/>
  <c r="C347" i="1"/>
  <c r="Z286" i="1"/>
  <c r="C283" i="1"/>
  <c r="AC112" i="1"/>
  <c r="C110" i="1"/>
  <c r="Y112" i="1"/>
  <c r="B112" i="1" s="1"/>
  <c r="B110" i="1"/>
  <c r="AC103" i="1"/>
  <c r="C103" i="1" s="1"/>
  <c r="C95" i="1"/>
  <c r="AQ321" i="1"/>
  <c r="AP321" i="1"/>
  <c r="AO321" i="1"/>
  <c r="C10" i="1"/>
  <c r="C309" i="1" s="1"/>
  <c r="AC147" i="1"/>
  <c r="AA151" i="1"/>
  <c r="Y103" i="1"/>
  <c r="B95" i="1"/>
  <c r="X185" i="1"/>
  <c r="X195" i="1" s="1"/>
  <c r="B35" i="1"/>
  <c r="AS353" i="1"/>
  <c r="AS352" i="1"/>
  <c r="AR353" i="1"/>
  <c r="AR352" i="1"/>
  <c r="Y354" i="1"/>
  <c r="V334" i="1"/>
  <c r="AK148" i="1"/>
  <c r="AK174" i="1" s="1"/>
  <c r="AK175" i="1" s="1"/>
  <c r="AI174" i="1"/>
  <c r="AI175" i="1" s="1"/>
  <c r="AK147" i="1"/>
  <c r="AI151" i="1"/>
  <c r="AO156" i="1"/>
  <c r="AO164" i="1" s="1"/>
  <c r="AM164" i="1"/>
  <c r="AO148" i="1"/>
  <c r="AM174" i="1"/>
  <c r="AM175" i="1" s="1"/>
  <c r="AQ302" i="1"/>
  <c r="AQ300" i="1"/>
  <c r="AQ298" i="1"/>
  <c r="AQ297" i="1"/>
  <c r="AP302" i="1"/>
  <c r="AP300" i="1"/>
  <c r="AP298" i="1"/>
  <c r="AP297" i="1"/>
  <c r="AO302" i="1"/>
  <c r="AO300" i="1"/>
  <c r="AO298" i="1"/>
  <c r="AO297" i="1"/>
  <c r="AO335" i="1"/>
  <c r="AK164" i="1"/>
  <c r="AI164" i="1"/>
  <c r="AC335" i="1"/>
  <c r="AG148" i="1"/>
  <c r="AG174" i="1" s="1"/>
  <c r="AG175" i="1" s="1"/>
  <c r="AE174" i="1"/>
  <c r="AE175" i="1" s="1"/>
  <c r="AE151" i="1"/>
  <c r="AG147" i="1"/>
  <c r="AG151" i="1" s="1"/>
  <c r="AG335" i="1"/>
  <c r="AD347" i="1"/>
  <c r="V348" i="1"/>
  <c r="AA164" i="1"/>
  <c r="AC156" i="1"/>
  <c r="AC164" i="1" s="1"/>
  <c r="AA174" i="1"/>
  <c r="AA175" i="1" s="1"/>
  <c r="AC148" i="1"/>
  <c r="AC347" i="1"/>
  <c r="AF347" i="1"/>
  <c r="AE347" i="1"/>
  <c r="AB347" i="1"/>
  <c r="AP290" i="1"/>
  <c r="AP288" i="1"/>
  <c r="AO290" i="1"/>
  <c r="AO288" i="1"/>
  <c r="AN290" i="1"/>
  <c r="AN288" i="1"/>
  <c r="AM290" i="1"/>
  <c r="AM286" i="1"/>
  <c r="AM288" i="1"/>
  <c r="AL290" i="1"/>
  <c r="AL286" i="1"/>
  <c r="AL288" i="1"/>
  <c r="AK290" i="1"/>
  <c r="AK286" i="1"/>
  <c r="AK288" i="1"/>
  <c r="AJ290" i="1"/>
  <c r="AJ286" i="1"/>
  <c r="AJ288" i="1"/>
  <c r="AA317" i="1"/>
  <c r="AA318" i="1" s="1"/>
  <c r="AQ317" i="1"/>
  <c r="AQ318" i="1" s="1"/>
  <c r="AP317" i="1"/>
  <c r="AP318" i="1" s="1"/>
  <c r="AO317" i="1"/>
  <c r="AO318" i="1" s="1"/>
  <c r="AN317" i="1"/>
  <c r="AN318" i="1" s="1"/>
  <c r="AM317" i="1"/>
  <c r="AM318" i="1" s="1"/>
  <c r="AL317" i="1"/>
  <c r="AL318" i="1" s="1"/>
  <c r="AK317" i="1"/>
  <c r="AK318" i="1" s="1"/>
  <c r="AJ317" i="1"/>
  <c r="AJ318" i="1" s="1"/>
  <c r="AI317" i="1"/>
  <c r="AI318" i="1" s="1"/>
  <c r="AH317" i="1"/>
  <c r="AH318" i="1" s="1"/>
  <c r="AG317" i="1"/>
  <c r="AG318" i="1" s="1"/>
  <c r="AF317" i="1"/>
  <c r="AF318" i="1" s="1"/>
  <c r="AE317" i="1"/>
  <c r="AE318" i="1" s="1"/>
  <c r="AD317" i="1"/>
  <c r="AD318" i="1" s="1"/>
  <c r="AC317" i="1"/>
  <c r="AC318" i="1" s="1"/>
  <c r="AB317" i="1"/>
  <c r="AB318" i="1" s="1"/>
  <c r="AS290" i="1"/>
  <c r="AS286" i="1"/>
  <c r="AS288" i="1"/>
  <c r="AR290" i="1"/>
  <c r="AR286" i="1"/>
  <c r="AR288" i="1"/>
  <c r="AQ290" i="1"/>
  <c r="AQ286" i="1"/>
  <c r="AQ288" i="1"/>
  <c r="AI290" i="1"/>
  <c r="AI288" i="1"/>
  <c r="AH290" i="1"/>
  <c r="AH288" i="1"/>
  <c r="AG290" i="1"/>
  <c r="AG288" i="1"/>
  <c r="AF290" i="1"/>
  <c r="AF288" i="1"/>
  <c r="AE290" i="1"/>
  <c r="AE288" i="1"/>
  <c r="AD290" i="1"/>
  <c r="AD288" i="1"/>
  <c r="AA347" i="1"/>
  <c r="AR317" i="1"/>
  <c r="AR318" i="1" s="1"/>
  <c r="X347" i="1"/>
  <c r="AN278" i="1"/>
  <c r="AN276" i="1"/>
  <c r="AM278" i="1"/>
  <c r="AM276" i="1"/>
  <c r="AL278" i="1"/>
  <c r="AL276" i="1"/>
  <c r="AK278" i="1"/>
  <c r="AK276" i="1"/>
  <c r="AJ278" i="1"/>
  <c r="AJ276" i="1"/>
  <c r="AI278" i="1"/>
  <c r="AI276" i="1"/>
  <c r="AH278" i="1"/>
  <c r="AH276" i="1"/>
  <c r="AG278" i="1"/>
  <c r="AG276" i="1"/>
  <c r="AF278" i="1"/>
  <c r="AF276" i="1"/>
  <c r="AE278" i="1"/>
  <c r="AE276" i="1"/>
  <c r="AD278" i="1"/>
  <c r="AD276" i="1"/>
  <c r="AC278" i="1"/>
  <c r="AC276" i="1"/>
  <c r="AB278" i="1"/>
  <c r="AB274" i="1"/>
  <c r="AB276" i="1"/>
  <c r="AA278" i="1"/>
  <c r="AA276" i="1"/>
  <c r="AA274" i="1"/>
  <c r="Z278" i="1"/>
  <c r="Z274" i="1"/>
  <c r="Z276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W174" i="1"/>
  <c r="W175" i="1" s="1"/>
  <c r="Y148" i="1"/>
  <c r="Y174" i="1" s="1"/>
  <c r="Y175" i="1" s="1"/>
  <c r="W151" i="1"/>
  <c r="Y147" i="1"/>
  <c r="Z347" i="1"/>
  <c r="Y335" i="1"/>
  <c r="Y278" i="1"/>
  <c r="Y274" i="1"/>
  <c r="Y276" i="1"/>
  <c r="Y164" i="1"/>
  <c r="AS317" i="1"/>
  <c r="AS318" i="1" s="1"/>
  <c r="Z317" i="1"/>
  <c r="Y317" i="1"/>
  <c r="Y318" i="1" s="1"/>
  <c r="AS273" i="1"/>
  <c r="AS276" i="1"/>
  <c r="AS274" i="1"/>
  <c r="AR276" i="1"/>
  <c r="AR274" i="1"/>
  <c r="AR273" i="1"/>
  <c r="AQ276" i="1"/>
  <c r="AQ273" i="1"/>
  <c r="AQ274" i="1"/>
  <c r="AP278" i="1"/>
  <c r="AP273" i="1"/>
  <c r="AP274" i="1"/>
  <c r="AP276" i="1"/>
  <c r="AO278" i="1"/>
  <c r="AO273" i="1"/>
  <c r="AO274" i="1"/>
  <c r="AO276" i="1"/>
  <c r="AS266" i="1"/>
  <c r="AS261" i="1"/>
  <c r="AS262" i="1"/>
  <c r="AS264" i="1"/>
  <c r="AS308" i="1"/>
  <c r="AR262" i="1"/>
  <c r="AR264" i="1"/>
  <c r="AR308" i="1"/>
  <c r="AR261" i="1"/>
  <c r="AR266" i="1"/>
  <c r="AQ264" i="1"/>
  <c r="AQ308" i="1"/>
  <c r="AQ262" i="1"/>
  <c r="AQ261" i="1"/>
  <c r="AQ266" i="1"/>
  <c r="AP266" i="1"/>
  <c r="AP262" i="1"/>
  <c r="AP308" i="1"/>
  <c r="AP264" i="1"/>
  <c r="AP261" i="1"/>
  <c r="AO262" i="1"/>
  <c r="AO261" i="1"/>
  <c r="AO308" i="1"/>
  <c r="AO264" i="1"/>
  <c r="AO266" i="1"/>
  <c r="AN261" i="1"/>
  <c r="AN262" i="1"/>
  <c r="AN308" i="1"/>
  <c r="AN264" i="1"/>
  <c r="AN266" i="1"/>
  <c r="AM262" i="1"/>
  <c r="AM264" i="1"/>
  <c r="AM266" i="1"/>
  <c r="AM308" i="1"/>
  <c r="AM261" i="1"/>
  <c r="AL266" i="1"/>
  <c r="AL261" i="1"/>
  <c r="AL262" i="1"/>
  <c r="AL308" i="1"/>
  <c r="AL264" i="1"/>
  <c r="AK308" i="1"/>
  <c r="AK266" i="1"/>
  <c r="AK261" i="1"/>
  <c r="AK262" i="1"/>
  <c r="AK264" i="1"/>
  <c r="AJ262" i="1"/>
  <c r="AJ266" i="1"/>
  <c r="AJ261" i="1"/>
  <c r="AJ264" i="1"/>
  <c r="AJ308" i="1"/>
  <c r="AI262" i="1"/>
  <c r="AI308" i="1"/>
  <c r="AI266" i="1"/>
  <c r="AI264" i="1"/>
  <c r="AI261" i="1"/>
  <c r="AH262" i="1"/>
  <c r="AH264" i="1"/>
  <c r="AH266" i="1"/>
  <c r="AH308" i="1"/>
  <c r="AH261" i="1"/>
  <c r="AG264" i="1"/>
  <c r="AG308" i="1"/>
  <c r="AG262" i="1"/>
  <c r="AG266" i="1"/>
  <c r="AG261" i="1"/>
  <c r="AF261" i="1"/>
  <c r="AF266" i="1"/>
  <c r="AF264" i="1"/>
  <c r="AF308" i="1"/>
  <c r="AF262" i="1"/>
  <c r="AE262" i="1"/>
  <c r="AE266" i="1"/>
  <c r="AE264" i="1"/>
  <c r="AE261" i="1"/>
  <c r="AE308" i="1"/>
  <c r="AD264" i="1"/>
  <c r="AD308" i="1"/>
  <c r="AD266" i="1"/>
  <c r="AD262" i="1"/>
  <c r="AD261" i="1"/>
  <c r="AC262" i="1"/>
  <c r="AC264" i="1"/>
  <c r="AC266" i="1"/>
  <c r="AC308" i="1"/>
  <c r="AC261" i="1"/>
  <c r="AB264" i="1"/>
  <c r="AB308" i="1"/>
  <c r="AB262" i="1"/>
  <c r="AB266" i="1"/>
  <c r="AB261" i="1"/>
  <c r="AA264" i="1"/>
  <c r="AA308" i="1"/>
  <c r="AA262" i="1"/>
  <c r="AA266" i="1"/>
  <c r="AA261" i="1"/>
  <c r="Z308" i="1"/>
  <c r="Z262" i="1"/>
  <c r="Z264" i="1"/>
  <c r="Z261" i="1"/>
  <c r="Z266" i="1"/>
  <c r="Y266" i="1"/>
  <c r="Y264" i="1"/>
  <c r="Y308" i="1"/>
  <c r="Y262" i="1"/>
  <c r="AS82" i="1"/>
  <c r="AS348" i="1"/>
  <c r="AS349" i="1"/>
  <c r="AR82" i="1"/>
  <c r="AR349" i="1"/>
  <c r="AR348" i="1"/>
  <c r="AQ82" i="1"/>
  <c r="AQ348" i="1"/>
  <c r="AQ349" i="1"/>
  <c r="AP82" i="1"/>
  <c r="AP349" i="1"/>
  <c r="AP348" i="1"/>
  <c r="AO82" i="1"/>
  <c r="AO349" i="1"/>
  <c r="AO348" i="1"/>
  <c r="AN82" i="1"/>
  <c r="AN348" i="1"/>
  <c r="AN349" i="1"/>
  <c r="AM82" i="1"/>
  <c r="AM349" i="1"/>
  <c r="AM348" i="1"/>
  <c r="AL82" i="1"/>
  <c r="AL348" i="1"/>
  <c r="AL349" i="1"/>
  <c r="AK82" i="1"/>
  <c r="AK349" i="1"/>
  <c r="AK348" i="1"/>
  <c r="AJ82" i="1"/>
  <c r="AJ348" i="1"/>
  <c r="AJ349" i="1"/>
  <c r="AI82" i="1"/>
  <c r="AI349" i="1"/>
  <c r="AI348" i="1"/>
  <c r="AH82" i="1"/>
  <c r="AH349" i="1"/>
  <c r="AH348" i="1"/>
  <c r="AG82" i="1"/>
  <c r="AG348" i="1"/>
  <c r="AG349" i="1"/>
  <c r="AF82" i="1"/>
  <c r="AF349" i="1"/>
  <c r="AF348" i="1"/>
  <c r="AE82" i="1"/>
  <c r="AE349" i="1"/>
  <c r="AE348" i="1"/>
  <c r="AD82" i="1"/>
  <c r="AD349" i="1"/>
  <c r="AD348" i="1"/>
  <c r="AC82" i="1"/>
  <c r="C82" i="1" s="1"/>
  <c r="AC349" i="1"/>
  <c r="AC348" i="1"/>
  <c r="AB82" i="1"/>
  <c r="AB348" i="1"/>
  <c r="AB349" i="1"/>
  <c r="AA82" i="1"/>
  <c r="AA348" i="1"/>
  <c r="AA349" i="1"/>
  <c r="Z82" i="1"/>
  <c r="Z348" i="1"/>
  <c r="Z349" i="1"/>
  <c r="X82" i="1"/>
  <c r="X348" i="1"/>
  <c r="X349" i="1"/>
  <c r="AS332" i="1"/>
  <c r="AS285" i="1"/>
  <c r="AS334" i="1"/>
  <c r="AS309" i="1"/>
  <c r="AS330" i="1"/>
  <c r="AR330" i="1"/>
  <c r="AR332" i="1"/>
  <c r="AR285" i="1"/>
  <c r="AR309" i="1"/>
  <c r="AR334" i="1"/>
  <c r="AQ309" i="1"/>
  <c r="AQ334" i="1"/>
  <c r="AQ332" i="1"/>
  <c r="AQ285" i="1"/>
  <c r="AQ330" i="1"/>
  <c r="AP309" i="1"/>
  <c r="AP334" i="1"/>
  <c r="AP285" i="1"/>
  <c r="AP330" i="1"/>
  <c r="AP332" i="1"/>
  <c r="AO334" i="1"/>
  <c r="AO285" i="1"/>
  <c r="AO330" i="1"/>
  <c r="AO332" i="1"/>
  <c r="AO309" i="1"/>
  <c r="AN309" i="1"/>
  <c r="AN285" i="1"/>
  <c r="AN334" i="1"/>
  <c r="AN273" i="1"/>
  <c r="AN332" i="1"/>
  <c r="AN330" i="1"/>
  <c r="AM285" i="1"/>
  <c r="AM309" i="1"/>
  <c r="AM330" i="1"/>
  <c r="AM273" i="1"/>
  <c r="AM334" i="1"/>
  <c r="AM332" i="1"/>
  <c r="AL334" i="1"/>
  <c r="AL273" i="1"/>
  <c r="AL330" i="1"/>
  <c r="AL285" i="1"/>
  <c r="AL309" i="1"/>
  <c r="AL332" i="1"/>
  <c r="AK330" i="1"/>
  <c r="AK273" i="1"/>
  <c r="AK332" i="1"/>
  <c r="AK309" i="1"/>
  <c r="AK334" i="1"/>
  <c r="AK285" i="1"/>
  <c r="AJ273" i="1"/>
  <c r="AJ334" i="1"/>
  <c r="AJ285" i="1"/>
  <c r="AJ330" i="1"/>
  <c r="AJ309" i="1"/>
  <c r="AJ332" i="1"/>
  <c r="AI273" i="1"/>
  <c r="AI309" i="1"/>
  <c r="AI334" i="1"/>
  <c r="AI332" i="1"/>
  <c r="AI330" i="1"/>
  <c r="AI285" i="1"/>
  <c r="AH273" i="1"/>
  <c r="AH330" i="1"/>
  <c r="AH332" i="1"/>
  <c r="AH285" i="1"/>
  <c r="AH309" i="1"/>
  <c r="AH334" i="1"/>
  <c r="AG334" i="1"/>
  <c r="AG309" i="1"/>
  <c r="AG332" i="1"/>
  <c r="AG273" i="1"/>
  <c r="AG330" i="1"/>
  <c r="AG285" i="1"/>
  <c r="AF332" i="1"/>
  <c r="AF309" i="1"/>
  <c r="AF285" i="1"/>
  <c r="AF330" i="1"/>
  <c r="AF273" i="1"/>
  <c r="AF334" i="1"/>
  <c r="AE309" i="1"/>
  <c r="AE334" i="1"/>
  <c r="AE332" i="1"/>
  <c r="AE273" i="1"/>
  <c r="AE330" i="1"/>
  <c r="AE285" i="1"/>
  <c r="AD332" i="1"/>
  <c r="AD330" i="1"/>
  <c r="AD334" i="1"/>
  <c r="AD309" i="1"/>
  <c r="AD285" i="1"/>
  <c r="AD273" i="1"/>
  <c r="AC334" i="1"/>
  <c r="AC332" i="1"/>
  <c r="AC309" i="1"/>
  <c r="AC330" i="1"/>
  <c r="AC285" i="1"/>
  <c r="AC273" i="1"/>
  <c r="AB334" i="1"/>
  <c r="AB330" i="1"/>
  <c r="AB309" i="1"/>
  <c r="AB285" i="1"/>
  <c r="AB273" i="1"/>
  <c r="AB332" i="1"/>
  <c r="AA309" i="1"/>
  <c r="AA334" i="1"/>
  <c r="AA330" i="1"/>
  <c r="AA273" i="1"/>
  <c r="AA285" i="1"/>
  <c r="AA332" i="1"/>
  <c r="Z273" i="1"/>
  <c r="Z332" i="1"/>
  <c r="Z334" i="1"/>
  <c r="Z285" i="1"/>
  <c r="Z309" i="1"/>
  <c r="Z330" i="1"/>
  <c r="Y347" i="1"/>
  <c r="Y82" i="1"/>
  <c r="B82" i="1" s="1"/>
  <c r="Y348" i="1"/>
  <c r="Y349" i="1"/>
  <c r="Y273" i="1"/>
  <c r="Y285" i="1"/>
  <c r="Y261" i="1"/>
  <c r="Y309" i="1"/>
  <c r="Y334" i="1"/>
  <c r="Y332" i="1"/>
  <c r="Y330" i="1"/>
  <c r="AC288" i="1"/>
  <c r="AC290" i="1"/>
  <c r="AB288" i="1"/>
  <c r="AB290" i="1"/>
  <c r="AA290" i="1"/>
  <c r="AA288" i="1"/>
  <c r="Z288" i="1"/>
  <c r="Z290" i="1"/>
  <c r="Y288" i="1"/>
  <c r="Y290" i="1"/>
  <c r="W347" i="1"/>
  <c r="AS176" i="1"/>
  <c r="AR176" i="1"/>
  <c r="W164" i="1"/>
  <c r="W113" i="1"/>
  <c r="AS168" i="1"/>
  <c r="AS170" i="1" s="1"/>
  <c r="AR168" i="1"/>
  <c r="AR170" i="1" s="1"/>
  <c r="V261" i="1"/>
  <c r="X113" i="1"/>
  <c r="X308" i="1"/>
  <c r="X290" i="1"/>
  <c r="X288" i="1"/>
  <c r="X286" i="1"/>
  <c r="X285" i="1"/>
  <c r="X278" i="1"/>
  <c r="X276" i="1"/>
  <c r="X274" i="1"/>
  <c r="X273" i="1"/>
  <c r="X266" i="1"/>
  <c r="X264" i="1"/>
  <c r="X262" i="1"/>
  <c r="X261" i="1"/>
  <c r="AS36" i="1"/>
  <c r="AS185" i="1"/>
  <c r="AS195" i="1" s="1"/>
  <c r="AR185" i="1"/>
  <c r="AR195" i="1" s="1"/>
  <c r="AR36" i="1"/>
  <c r="AQ185" i="1"/>
  <c r="AQ195" i="1" s="1"/>
  <c r="AQ36" i="1"/>
  <c r="AP36" i="1"/>
  <c r="AP185" i="1"/>
  <c r="AP195" i="1" s="1"/>
  <c r="AO185" i="1"/>
  <c r="AO195" i="1" s="1"/>
  <c r="AO36" i="1"/>
  <c r="AN36" i="1"/>
  <c r="AN185" i="1"/>
  <c r="AN195" i="1" s="1"/>
  <c r="AM36" i="1"/>
  <c r="AM185" i="1"/>
  <c r="AM195" i="1" s="1"/>
  <c r="AL36" i="1"/>
  <c r="AL185" i="1"/>
  <c r="AL195" i="1" s="1"/>
  <c r="AK185" i="1"/>
  <c r="AK195" i="1" s="1"/>
  <c r="AK36" i="1"/>
  <c r="AJ185" i="1"/>
  <c r="AJ195" i="1" s="1"/>
  <c r="AJ36" i="1"/>
  <c r="AI36" i="1"/>
  <c r="AI185" i="1"/>
  <c r="AI195" i="1" s="1"/>
  <c r="AH185" i="1"/>
  <c r="AH195" i="1" s="1"/>
  <c r="AH36" i="1"/>
  <c r="AG36" i="1"/>
  <c r="AG185" i="1"/>
  <c r="AG195" i="1" s="1"/>
  <c r="AF36" i="1"/>
  <c r="AF185" i="1"/>
  <c r="AF195" i="1" s="1"/>
  <c r="AE36" i="1"/>
  <c r="AE185" i="1"/>
  <c r="AE195" i="1" s="1"/>
  <c r="AD36" i="1"/>
  <c r="AD185" i="1"/>
  <c r="AD195" i="1" s="1"/>
  <c r="AC185" i="1"/>
  <c r="AC195" i="1" s="1"/>
  <c r="AC36" i="1"/>
  <c r="AB185" i="1"/>
  <c r="AB195" i="1" s="1"/>
  <c r="AB36" i="1"/>
  <c r="AA185" i="1"/>
  <c r="AA195" i="1" s="1"/>
  <c r="AA36" i="1"/>
  <c r="Z185" i="1"/>
  <c r="Z36" i="1"/>
  <c r="Y185" i="1"/>
  <c r="Y195" i="1" s="1"/>
  <c r="Y36" i="1"/>
  <c r="AS27" i="1"/>
  <c r="AS12" i="1"/>
  <c r="AS29" i="1"/>
  <c r="AS13" i="1"/>
  <c r="AS20" i="1"/>
  <c r="AR29" i="1"/>
  <c r="AR13" i="1"/>
  <c r="AR12" i="1"/>
  <c r="AR20" i="1"/>
  <c r="AR27" i="1"/>
  <c r="AQ12" i="1"/>
  <c r="AQ13" i="1"/>
  <c r="AQ29" i="1"/>
  <c r="AQ27" i="1"/>
  <c r="AQ20" i="1"/>
  <c r="AP20" i="1"/>
  <c r="AP13" i="1"/>
  <c r="AP12" i="1"/>
  <c r="AP27" i="1"/>
  <c r="AP29" i="1"/>
  <c r="AO13" i="1"/>
  <c r="AO20" i="1"/>
  <c r="AO27" i="1"/>
  <c r="AO12" i="1"/>
  <c r="AO29" i="1"/>
  <c r="AN27" i="1"/>
  <c r="AN20" i="1"/>
  <c r="AN29" i="1"/>
  <c r="AN13" i="1"/>
  <c r="AN12" i="1"/>
  <c r="AM13" i="1"/>
  <c r="AM12" i="1"/>
  <c r="AM27" i="1"/>
  <c r="AM20" i="1"/>
  <c r="AM29" i="1"/>
  <c r="AL20" i="1"/>
  <c r="AL29" i="1"/>
  <c r="AL12" i="1"/>
  <c r="AL13" i="1"/>
  <c r="AL27" i="1"/>
  <c r="AK20" i="1"/>
  <c r="AK27" i="1"/>
  <c r="AK12" i="1"/>
  <c r="AK13" i="1"/>
  <c r="AK29" i="1"/>
  <c r="AJ13" i="1"/>
  <c r="AJ20" i="1"/>
  <c r="AJ12" i="1"/>
  <c r="AJ29" i="1"/>
  <c r="AJ27" i="1"/>
  <c r="AI13" i="1"/>
  <c r="AI20" i="1"/>
  <c r="AI27" i="1"/>
  <c r="AI29" i="1"/>
  <c r="AI12" i="1"/>
  <c r="AH27" i="1"/>
  <c r="AH20" i="1"/>
  <c r="AH12" i="1"/>
  <c r="AH29" i="1"/>
  <c r="AH13" i="1"/>
  <c r="AG29" i="1"/>
  <c r="AG12" i="1"/>
  <c r="AG27" i="1"/>
  <c r="AG20" i="1"/>
  <c r="AG13" i="1"/>
  <c r="AF20" i="1"/>
  <c r="AF12" i="1"/>
  <c r="AF13" i="1"/>
  <c r="AF29" i="1"/>
  <c r="AF27" i="1"/>
  <c r="AE12" i="1"/>
  <c r="AE13" i="1"/>
  <c r="AE29" i="1"/>
  <c r="AE27" i="1"/>
  <c r="AE20" i="1"/>
  <c r="AD13" i="1"/>
  <c r="AD20" i="1"/>
  <c r="AD27" i="1"/>
  <c r="AD12" i="1"/>
  <c r="AD29" i="1"/>
  <c r="AC12" i="1"/>
  <c r="AC20" i="1"/>
  <c r="AC13" i="1"/>
  <c r="AC29" i="1"/>
  <c r="AC27" i="1"/>
  <c r="AB12" i="1"/>
  <c r="AB13" i="1"/>
  <c r="AB20" i="1"/>
  <c r="AB27" i="1"/>
  <c r="AB29" i="1"/>
  <c r="AA20" i="1"/>
  <c r="AA12" i="1"/>
  <c r="AA29" i="1"/>
  <c r="AA13" i="1"/>
  <c r="AA27" i="1"/>
  <c r="Z13" i="1"/>
  <c r="Z27" i="1"/>
  <c r="Z20" i="1"/>
  <c r="C20" i="1" s="1"/>
  <c r="Z29" i="1"/>
  <c r="Z12" i="1"/>
  <c r="Y29" i="1"/>
  <c r="Y12" i="1"/>
  <c r="Y27" i="1"/>
  <c r="Y20" i="1"/>
  <c r="Y13" i="1"/>
  <c r="X334" i="1"/>
  <c r="X309" i="1"/>
  <c r="X332" i="1"/>
  <c r="X330" i="1"/>
  <c r="W288" i="1"/>
  <c r="W285" i="1"/>
  <c r="W286" i="1"/>
  <c r="W290" i="1"/>
  <c r="W308" i="1"/>
  <c r="W274" i="1"/>
  <c r="W278" i="1"/>
  <c r="W273" i="1"/>
  <c r="W276" i="1"/>
  <c r="W261" i="1"/>
  <c r="W262" i="1"/>
  <c r="W264" i="1"/>
  <c r="W266" i="1"/>
  <c r="W82" i="1"/>
  <c r="W348" i="1"/>
  <c r="W349" i="1"/>
  <c r="W36" i="1"/>
  <c r="W185" i="1"/>
  <c r="W330" i="1"/>
  <c r="W332" i="1"/>
  <c r="W334" i="1"/>
  <c r="W309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B113" i="1"/>
  <c r="AA113" i="1"/>
  <c r="Z113" i="1"/>
  <c r="X36" i="1"/>
  <c r="X27" i="1"/>
  <c r="X20" i="1"/>
  <c r="X29" i="1"/>
  <c r="X13" i="1"/>
  <c r="X12" i="1"/>
  <c r="W13" i="1"/>
  <c r="W27" i="1"/>
  <c r="W12" i="1"/>
  <c r="W29" i="1"/>
  <c r="W20" i="1"/>
  <c r="V347" i="1"/>
  <c r="V290" i="1"/>
  <c r="V308" i="1"/>
  <c r="V82" i="1"/>
  <c r="V349" i="1"/>
  <c r="V317" i="1"/>
  <c r="V318" i="1" s="1"/>
  <c r="V196" i="1"/>
  <c r="V27" i="1"/>
  <c r="V332" i="1"/>
  <c r="V330" i="1"/>
  <c r="V309" i="1"/>
  <c r="V288" i="1"/>
  <c r="V286" i="1"/>
  <c r="V285" i="1"/>
  <c r="V278" i="1"/>
  <c r="V276" i="1"/>
  <c r="V274" i="1"/>
  <c r="V273" i="1"/>
  <c r="V264" i="1"/>
  <c r="V262" i="1"/>
  <c r="V266" i="1"/>
  <c r="V113" i="1"/>
  <c r="V36" i="1"/>
  <c r="V13" i="1"/>
  <c r="V12" i="1"/>
  <c r="V29" i="1"/>
  <c r="V20" i="1"/>
  <c r="B349" i="1" l="1"/>
  <c r="B348" i="1"/>
  <c r="AG354" i="1"/>
  <c r="AC354" i="1"/>
  <c r="C308" i="1"/>
  <c r="C310" i="1" s="1"/>
  <c r="V354" i="1"/>
  <c r="B308" i="1"/>
  <c r="B310" i="1" s="1"/>
  <c r="AO151" i="1"/>
  <c r="AO174" i="1"/>
  <c r="AO175" i="1" s="1"/>
  <c r="AS354" i="1"/>
  <c r="AR354" i="1"/>
  <c r="AQ354" i="1"/>
  <c r="AP354" i="1"/>
  <c r="AO354" i="1"/>
  <c r="AN354" i="1"/>
  <c r="AM354" i="1"/>
  <c r="AB354" i="1"/>
  <c r="AA354" i="1"/>
  <c r="C348" i="1"/>
  <c r="C349" i="1"/>
  <c r="C112" i="1"/>
  <c r="AC113" i="1"/>
  <c r="C113" i="1" s="1"/>
  <c r="B103" i="1"/>
  <c r="Y113" i="1"/>
  <c r="B113" i="1" s="1"/>
  <c r="X354" i="1"/>
  <c r="W354" i="1"/>
  <c r="AE354" i="1"/>
  <c r="Z354" i="1"/>
  <c r="AK151" i="1"/>
  <c r="B20" i="1"/>
  <c r="AL354" i="1"/>
  <c r="AK354" i="1"/>
  <c r="AJ354" i="1"/>
  <c r="AI354" i="1"/>
  <c r="AH354" i="1"/>
  <c r="AF354" i="1"/>
  <c r="AD354" i="1"/>
  <c r="Z318" i="1"/>
  <c r="C317" i="1"/>
  <c r="Z195" i="1"/>
  <c r="C195" i="1" s="1"/>
  <c r="C185" i="1"/>
  <c r="W195" i="1"/>
  <c r="B185" i="1"/>
  <c r="AC151" i="1"/>
  <c r="AC174" i="1"/>
  <c r="AC175" i="1" s="1"/>
  <c r="Y151" i="1"/>
  <c r="AS310" i="1"/>
  <c r="AR310" i="1"/>
  <c r="AQ310" i="1"/>
  <c r="AA310" i="1"/>
  <c r="AF310" i="1"/>
  <c r="AE310" i="1"/>
  <c r="AD310" i="1"/>
  <c r="AC310" i="1"/>
  <c r="AB310" i="1"/>
  <c r="Z310" i="1"/>
  <c r="Y310" i="1"/>
  <c r="AP310" i="1"/>
  <c r="AO310" i="1"/>
  <c r="AN310" i="1"/>
  <c r="AM310" i="1"/>
  <c r="AL310" i="1"/>
  <c r="AK310" i="1"/>
  <c r="AJ310" i="1"/>
  <c r="AI310" i="1"/>
  <c r="AH310" i="1"/>
  <c r="AG310" i="1"/>
  <c r="AS177" i="1"/>
  <c r="AS178" i="1"/>
  <c r="AR177" i="1"/>
  <c r="AR178" i="1"/>
  <c r="X310" i="1"/>
  <c r="AS21" i="1"/>
  <c r="AS38" i="1"/>
  <c r="AR21" i="1"/>
  <c r="AR38" i="1"/>
  <c r="AQ38" i="1"/>
  <c r="AQ21" i="1"/>
  <c r="AP21" i="1"/>
  <c r="AP38" i="1"/>
  <c r="AO21" i="1"/>
  <c r="AO38" i="1"/>
  <c r="AN21" i="1"/>
  <c r="AN38" i="1"/>
  <c r="AM21" i="1"/>
  <c r="AM38" i="1"/>
  <c r="AL38" i="1"/>
  <c r="AL21" i="1"/>
  <c r="AK21" i="1"/>
  <c r="AK38" i="1"/>
  <c r="AJ21" i="1"/>
  <c r="AJ38" i="1"/>
  <c r="AI21" i="1"/>
  <c r="AI38" i="1"/>
  <c r="AH21" i="1"/>
  <c r="AH38" i="1"/>
  <c r="AG38" i="1"/>
  <c r="AG21" i="1"/>
  <c r="AF38" i="1"/>
  <c r="AF21" i="1"/>
  <c r="AE21" i="1"/>
  <c r="AE38" i="1"/>
  <c r="AD21" i="1"/>
  <c r="AD38" i="1"/>
  <c r="AC38" i="1"/>
  <c r="AC21" i="1"/>
  <c r="AB21" i="1"/>
  <c r="AB38" i="1"/>
  <c r="AA21" i="1"/>
  <c r="AA38" i="1"/>
  <c r="Z38" i="1"/>
  <c r="Z21" i="1"/>
  <c r="Y21" i="1"/>
  <c r="Y38" i="1"/>
  <c r="W310" i="1"/>
  <c r="X21" i="1"/>
  <c r="X38" i="1"/>
  <c r="W38" i="1"/>
  <c r="W199" i="1" s="1"/>
  <c r="W209" i="1" s="1"/>
  <c r="W210" i="1" s="1"/>
  <c r="W21" i="1"/>
  <c r="V310" i="1"/>
  <c r="V38" i="1"/>
  <c r="V21" i="1"/>
  <c r="C38" i="1" l="1"/>
  <c r="B195" i="1"/>
  <c r="W196" i="1"/>
  <c r="V199" i="1"/>
  <c r="V209" i="1" s="1"/>
  <c r="B38" i="1"/>
  <c r="AS199" i="1"/>
  <c r="AS209" i="1" s="1"/>
  <c r="AS210" i="1" s="1"/>
  <c r="AS39" i="1"/>
  <c r="AS47" i="1"/>
  <c r="AR199" i="1"/>
  <c r="AR209" i="1" s="1"/>
  <c r="AR210" i="1" s="1"/>
  <c r="AR39" i="1"/>
  <c r="AR47" i="1"/>
  <c r="AQ39" i="1"/>
  <c r="AQ47" i="1"/>
  <c r="AQ199" i="1"/>
  <c r="AQ209" i="1" s="1"/>
  <c r="AQ210" i="1" s="1"/>
  <c r="AP199" i="1"/>
  <c r="AP209" i="1" s="1"/>
  <c r="AP210" i="1" s="1"/>
  <c r="AP47" i="1"/>
  <c r="AP39" i="1"/>
  <c r="AO39" i="1"/>
  <c r="AO47" i="1"/>
  <c r="AO199" i="1"/>
  <c r="AO209" i="1" s="1"/>
  <c r="AO210" i="1" s="1"/>
  <c r="AN47" i="1"/>
  <c r="AN39" i="1"/>
  <c r="AN199" i="1"/>
  <c r="AN209" i="1" s="1"/>
  <c r="AN210" i="1" s="1"/>
  <c r="AM39" i="1"/>
  <c r="AM47" i="1"/>
  <c r="AM199" i="1"/>
  <c r="AM209" i="1" s="1"/>
  <c r="AM210" i="1" s="1"/>
  <c r="AL199" i="1"/>
  <c r="AL209" i="1" s="1"/>
  <c r="AL210" i="1" s="1"/>
  <c r="AL39" i="1"/>
  <c r="AL47" i="1"/>
  <c r="AK39" i="1"/>
  <c r="AK47" i="1"/>
  <c r="AK199" i="1"/>
  <c r="AK209" i="1" s="1"/>
  <c r="AK210" i="1" s="1"/>
  <c r="AJ39" i="1"/>
  <c r="AJ47" i="1"/>
  <c r="AJ199" i="1"/>
  <c r="AJ209" i="1" s="1"/>
  <c r="AJ210" i="1" s="1"/>
  <c r="AI39" i="1"/>
  <c r="AI47" i="1"/>
  <c r="AI199" i="1"/>
  <c r="AI209" i="1" s="1"/>
  <c r="AI210" i="1" s="1"/>
  <c r="AH39" i="1"/>
  <c r="AH47" i="1"/>
  <c r="AH199" i="1"/>
  <c r="AH209" i="1" s="1"/>
  <c r="AH210" i="1" s="1"/>
  <c r="AG39" i="1"/>
  <c r="AG47" i="1"/>
  <c r="AG199" i="1"/>
  <c r="AG209" i="1" s="1"/>
  <c r="AG210" i="1" s="1"/>
  <c r="AF39" i="1"/>
  <c r="AF47" i="1"/>
  <c r="AF199" i="1"/>
  <c r="AF209" i="1" s="1"/>
  <c r="AF210" i="1" s="1"/>
  <c r="AE39" i="1"/>
  <c r="AE47" i="1"/>
  <c r="AE199" i="1"/>
  <c r="AE209" i="1" s="1"/>
  <c r="AE210" i="1" s="1"/>
  <c r="AD47" i="1"/>
  <c r="AD39" i="1"/>
  <c r="AD199" i="1"/>
  <c r="AD209" i="1" s="1"/>
  <c r="AD210" i="1" s="1"/>
  <c r="AC47" i="1"/>
  <c r="AC39" i="1"/>
  <c r="AC199" i="1"/>
  <c r="AC209" i="1" s="1"/>
  <c r="AC210" i="1" s="1"/>
  <c r="AB47" i="1"/>
  <c r="AB39" i="1"/>
  <c r="AB199" i="1"/>
  <c r="AB209" i="1" s="1"/>
  <c r="AB210" i="1" s="1"/>
  <c r="AA39" i="1"/>
  <c r="AA47" i="1"/>
  <c r="AA199" i="1"/>
  <c r="AA209" i="1" s="1"/>
  <c r="AA210" i="1" s="1"/>
  <c r="Z47" i="1"/>
  <c r="Z39" i="1"/>
  <c r="Z199" i="1"/>
  <c r="Y39" i="1"/>
  <c r="Y199" i="1"/>
  <c r="Y209" i="1" s="1"/>
  <c r="Y210" i="1" s="1"/>
  <c r="Y47" i="1"/>
  <c r="Y49" i="1" s="1"/>
  <c r="X39" i="1"/>
  <c r="X47" i="1"/>
  <c r="X49" i="1" s="1"/>
  <c r="X199" i="1"/>
  <c r="X209" i="1" s="1"/>
  <c r="X210" i="1" s="1"/>
  <c r="W39" i="1"/>
  <c r="W47" i="1"/>
  <c r="V39" i="1"/>
  <c r="V47" i="1"/>
  <c r="B199" i="1" l="1"/>
  <c r="Z49" i="1"/>
  <c r="C47" i="1"/>
  <c r="Z209" i="1"/>
  <c r="C199" i="1"/>
  <c r="V210" i="1"/>
  <c r="B209" i="1"/>
  <c r="V49" i="1"/>
  <c r="B47" i="1"/>
  <c r="AS50" i="1"/>
  <c r="AS52" i="1" s="1"/>
  <c r="AS234" i="1" s="1"/>
  <c r="AS249" i="1" s="1"/>
  <c r="AS250" i="1" s="1"/>
  <c r="AS49" i="1"/>
  <c r="AR49" i="1"/>
  <c r="AR50" i="1"/>
  <c r="AR52" i="1" s="1"/>
  <c r="AR234" i="1" s="1"/>
  <c r="AR249" i="1" s="1"/>
  <c r="AR250" i="1" s="1"/>
  <c r="AQ49" i="1"/>
  <c r="AQ50" i="1"/>
  <c r="AP49" i="1"/>
  <c r="AP50" i="1"/>
  <c r="AO49" i="1"/>
  <c r="AO50" i="1"/>
  <c r="AN50" i="1"/>
  <c r="AN49" i="1"/>
  <c r="AM49" i="1"/>
  <c r="AM50" i="1"/>
  <c r="AL49" i="1"/>
  <c r="AL50" i="1"/>
  <c r="AK50" i="1"/>
  <c r="AK49" i="1"/>
  <c r="AJ50" i="1"/>
  <c r="AJ49" i="1"/>
  <c r="AI49" i="1"/>
  <c r="AI50" i="1"/>
  <c r="AH50" i="1"/>
  <c r="AH49" i="1"/>
  <c r="AG49" i="1"/>
  <c r="AG50" i="1"/>
  <c r="AF50" i="1"/>
  <c r="AF49" i="1"/>
  <c r="AE49" i="1"/>
  <c r="AE50" i="1"/>
  <c r="AD49" i="1"/>
  <c r="AD50" i="1"/>
  <c r="AC49" i="1"/>
  <c r="AC50" i="1"/>
  <c r="AB49" i="1"/>
  <c r="AB50" i="1"/>
  <c r="AA49" i="1"/>
  <c r="AA50" i="1"/>
  <c r="Z50" i="1"/>
  <c r="Y50" i="1"/>
  <c r="X50" i="1"/>
  <c r="W49" i="1"/>
  <c r="W50" i="1"/>
  <c r="W120" i="1" s="1"/>
  <c r="W144" i="1" s="1"/>
  <c r="V50" i="1"/>
  <c r="C50" i="1" l="1"/>
  <c r="C209" i="1"/>
  <c r="Z210" i="1"/>
  <c r="I120" i="1"/>
  <c r="I144" i="1" s="1"/>
  <c r="B50" i="1"/>
  <c r="AQ52" i="1"/>
  <c r="AQ120" i="1"/>
  <c r="AQ144" i="1" s="1"/>
  <c r="AP52" i="1"/>
  <c r="S120" i="1"/>
  <c r="S144" i="1" s="1"/>
  <c r="AP120" i="1"/>
  <c r="AP144" i="1" s="1"/>
  <c r="AO52" i="1"/>
  <c r="AO120" i="1"/>
  <c r="AO144" i="1" s="1"/>
  <c r="AN52" i="1"/>
  <c r="AN120" i="1"/>
  <c r="AN144" i="1" s="1"/>
  <c r="AM52" i="1"/>
  <c r="AM120" i="1"/>
  <c r="AM144" i="1" s="1"/>
  <c r="AL52" i="1"/>
  <c r="Q120" i="1"/>
  <c r="Q144" i="1" s="1"/>
  <c r="AL120" i="1"/>
  <c r="AL144" i="1" s="1"/>
  <c r="AK52" i="1"/>
  <c r="AK120" i="1"/>
  <c r="AK144" i="1" s="1"/>
  <c r="AJ52" i="1"/>
  <c r="AJ120" i="1"/>
  <c r="AJ144" i="1" s="1"/>
  <c r="AI52" i="1"/>
  <c r="O120" i="1"/>
  <c r="O144" i="1" s="1"/>
  <c r="AI120" i="1"/>
  <c r="AI144" i="1" s="1"/>
  <c r="AH52" i="1"/>
  <c r="AH120" i="1"/>
  <c r="AH144" i="1" s="1"/>
  <c r="AG52" i="1"/>
  <c r="AG120" i="1"/>
  <c r="AG144" i="1" s="1"/>
  <c r="AF52" i="1"/>
  <c r="AF120" i="1"/>
  <c r="AF144" i="1" s="1"/>
  <c r="AE52" i="1"/>
  <c r="AE120" i="1"/>
  <c r="AE144" i="1" s="1"/>
  <c r="AD52" i="1"/>
  <c r="M120" i="1"/>
  <c r="M144" i="1" s="1"/>
  <c r="AD120" i="1"/>
  <c r="AD144" i="1" s="1"/>
  <c r="AC52" i="1"/>
  <c r="AC234" i="1" s="1"/>
  <c r="AC249" i="1" s="1"/>
  <c r="AC250" i="1" s="1"/>
  <c r="AC120" i="1"/>
  <c r="AC144" i="1" s="1"/>
  <c r="K120" i="1"/>
  <c r="K144" i="1" s="1"/>
  <c r="AB52" i="1"/>
  <c r="AB234" i="1" s="1"/>
  <c r="AB249" i="1" s="1"/>
  <c r="AB250" i="1" s="1"/>
  <c r="AB120" i="1"/>
  <c r="AB144" i="1" s="1"/>
  <c r="AA52" i="1"/>
  <c r="AA234" i="1" s="1"/>
  <c r="AA249" i="1" s="1"/>
  <c r="AA250" i="1" s="1"/>
  <c r="AA120" i="1"/>
  <c r="AA144" i="1" s="1"/>
  <c r="B120" i="1"/>
  <c r="B144" i="1" s="1"/>
  <c r="Z52" i="1"/>
  <c r="Z120" i="1"/>
  <c r="Z144" i="1" s="1"/>
  <c r="Y52" i="1"/>
  <c r="Y120" i="1"/>
  <c r="Y144" i="1" s="1"/>
  <c r="X52" i="1"/>
  <c r="X120" i="1"/>
  <c r="X144" i="1" s="1"/>
  <c r="AS53" i="1"/>
  <c r="AS55" i="1"/>
  <c r="AS56" i="1"/>
  <c r="AS213" i="1"/>
  <c r="AS227" i="1" s="1"/>
  <c r="AR53" i="1"/>
  <c r="AR55" i="1"/>
  <c r="AR56" i="1"/>
  <c r="AR213" i="1"/>
  <c r="AR227" i="1" s="1"/>
  <c r="W52" i="1"/>
  <c r="W56" i="1" s="1"/>
  <c r="V120" i="1"/>
  <c r="V144" i="1" s="1"/>
  <c r="V52" i="1"/>
  <c r="C52" i="1" l="1"/>
  <c r="B52" i="1"/>
  <c r="C56" i="1"/>
  <c r="C55" i="1"/>
  <c r="B55" i="1"/>
  <c r="B56" i="1"/>
  <c r="AQ234" i="1"/>
  <c r="AQ249" i="1" s="1"/>
  <c r="AQ250" i="1" s="1"/>
  <c r="AQ53" i="1"/>
  <c r="AQ55" i="1"/>
  <c r="AQ56" i="1"/>
  <c r="AQ213" i="1"/>
  <c r="AQ227" i="1" s="1"/>
  <c r="AP234" i="1"/>
  <c r="AP249" i="1" s="1"/>
  <c r="AP250" i="1" s="1"/>
  <c r="AP56" i="1"/>
  <c r="AP213" i="1"/>
  <c r="AP227" i="1" s="1"/>
  <c r="AP53" i="1"/>
  <c r="AP55" i="1"/>
  <c r="AQ173" i="1"/>
  <c r="AQ176" i="1" s="1"/>
  <c r="AQ168" i="1"/>
  <c r="S168" i="1"/>
  <c r="S173" i="1"/>
  <c r="S176" i="1" s="1"/>
  <c r="AP168" i="1"/>
  <c r="AP173" i="1"/>
  <c r="AP176" i="1" s="1"/>
  <c r="AL234" i="1"/>
  <c r="AL249" i="1" s="1"/>
  <c r="AL250" i="1" s="1"/>
  <c r="AL213" i="1"/>
  <c r="AL227" i="1" s="1"/>
  <c r="AL55" i="1"/>
  <c r="AL56" i="1"/>
  <c r="AL53" i="1"/>
  <c r="AK234" i="1"/>
  <c r="AK249" i="1" s="1"/>
  <c r="AK250" i="1" s="1"/>
  <c r="AK53" i="1"/>
  <c r="AK213" i="1"/>
  <c r="AK227" i="1" s="1"/>
  <c r="AK56" i="1"/>
  <c r="AK55" i="1"/>
  <c r="AJ234" i="1"/>
  <c r="AJ249" i="1" s="1"/>
  <c r="AJ250" i="1" s="1"/>
  <c r="AJ55" i="1"/>
  <c r="AJ56" i="1"/>
  <c r="AJ53" i="1"/>
  <c r="AJ213" i="1"/>
  <c r="AJ227" i="1" s="1"/>
  <c r="AI234" i="1"/>
  <c r="AI249" i="1" s="1"/>
  <c r="AI250" i="1" s="1"/>
  <c r="AI55" i="1"/>
  <c r="AI213" i="1"/>
  <c r="AI227" i="1" s="1"/>
  <c r="AI53" i="1"/>
  <c r="AI56" i="1"/>
  <c r="AH234" i="1"/>
  <c r="AH249" i="1" s="1"/>
  <c r="AH250" i="1" s="1"/>
  <c r="AH213" i="1"/>
  <c r="AH227" i="1" s="1"/>
  <c r="AH55" i="1"/>
  <c r="AH53" i="1"/>
  <c r="AH56" i="1"/>
  <c r="AG234" i="1"/>
  <c r="AG249" i="1" s="1"/>
  <c r="AG250" i="1" s="1"/>
  <c r="AG55" i="1"/>
  <c r="AG53" i="1"/>
  <c r="AG213" i="1"/>
  <c r="AG227" i="1" s="1"/>
  <c r="AG56" i="1"/>
  <c r="AF234" i="1"/>
  <c r="AF249" i="1" s="1"/>
  <c r="AF250" i="1" s="1"/>
  <c r="AF56" i="1"/>
  <c r="AF55" i="1"/>
  <c r="AF213" i="1"/>
  <c r="AF227" i="1" s="1"/>
  <c r="AF53" i="1"/>
  <c r="W53" i="1"/>
  <c r="W55" i="1"/>
  <c r="AO234" i="1"/>
  <c r="AO249" i="1" s="1"/>
  <c r="AO250" i="1" s="1"/>
  <c r="AO56" i="1"/>
  <c r="AO53" i="1"/>
  <c r="AO213" i="1"/>
  <c r="AO227" i="1" s="1"/>
  <c r="AO55" i="1"/>
  <c r="AN234" i="1"/>
  <c r="AN249" i="1" s="1"/>
  <c r="AN250" i="1" s="1"/>
  <c r="AN53" i="1"/>
  <c r="AN55" i="1"/>
  <c r="AN213" i="1"/>
  <c r="AN227" i="1" s="1"/>
  <c r="AN56" i="1"/>
  <c r="AM234" i="1"/>
  <c r="AM249" i="1" s="1"/>
  <c r="AM250" i="1" s="1"/>
  <c r="AM213" i="1"/>
  <c r="AM227" i="1" s="1"/>
  <c r="AM56" i="1"/>
  <c r="AM53" i="1"/>
  <c r="AM55" i="1"/>
  <c r="AO173" i="1"/>
  <c r="AO176" i="1" s="1"/>
  <c r="AO168" i="1"/>
  <c r="AN168" i="1"/>
  <c r="AN173" i="1"/>
  <c r="AN176" i="1" s="1"/>
  <c r="AM168" i="1"/>
  <c r="AM173" i="1"/>
  <c r="AM176" i="1" s="1"/>
  <c r="Q168" i="1"/>
  <c r="Q173" i="1"/>
  <c r="Q176" i="1" s="1"/>
  <c r="F120" i="1"/>
  <c r="F144" i="1" s="1"/>
  <c r="AK168" i="1"/>
  <c r="AK173" i="1"/>
  <c r="AK176" i="1" s="1"/>
  <c r="AJ168" i="1"/>
  <c r="AJ173" i="1"/>
  <c r="AJ176" i="1" s="1"/>
  <c r="O168" i="1"/>
  <c r="O173" i="1"/>
  <c r="O176" i="1" s="1"/>
  <c r="AI168" i="1"/>
  <c r="AI173" i="1"/>
  <c r="AI176" i="1" s="1"/>
  <c r="E120" i="1"/>
  <c r="E144" i="1" s="1"/>
  <c r="AE234" i="1"/>
  <c r="AE249" i="1" s="1"/>
  <c r="AE250" i="1" s="1"/>
  <c r="AE53" i="1"/>
  <c r="AE55" i="1"/>
  <c r="AE56" i="1"/>
  <c r="AE213" i="1"/>
  <c r="AE227" i="1" s="1"/>
  <c r="AD234" i="1"/>
  <c r="AD249" i="1" s="1"/>
  <c r="AD250" i="1" s="1"/>
  <c r="AD213" i="1"/>
  <c r="AD227" i="1" s="1"/>
  <c r="AD53" i="1"/>
  <c r="AD55" i="1"/>
  <c r="AD56" i="1"/>
  <c r="D120" i="1"/>
  <c r="D144" i="1" s="1"/>
  <c r="AF168" i="1"/>
  <c r="AF173" i="1"/>
  <c r="AF176" i="1" s="1"/>
  <c r="AE168" i="1"/>
  <c r="AE173" i="1"/>
  <c r="AE176" i="1" s="1"/>
  <c r="M168" i="1"/>
  <c r="M173" i="1"/>
  <c r="M176" i="1" s="1"/>
  <c r="AD168" i="1"/>
  <c r="AD173" i="1"/>
  <c r="AD176" i="1" s="1"/>
  <c r="AS230" i="1"/>
  <c r="AS228" i="1"/>
  <c r="AR230" i="1"/>
  <c r="AR228" i="1"/>
  <c r="AC53" i="1"/>
  <c r="AC55" i="1"/>
  <c r="AC56" i="1"/>
  <c r="AC213" i="1"/>
  <c r="AC227" i="1" s="1"/>
  <c r="K168" i="1"/>
  <c r="K173" i="1"/>
  <c r="K176" i="1" s="1"/>
  <c r="AC168" i="1"/>
  <c r="AC173" i="1"/>
  <c r="AC176" i="1" s="1"/>
  <c r="B173" i="1"/>
  <c r="B176" i="1" s="1"/>
  <c r="B168" i="1"/>
  <c r="B170" i="1" s="1"/>
  <c r="C169" i="1" s="1"/>
  <c r="C120" i="1"/>
  <c r="C144" i="1" s="1"/>
  <c r="AB213" i="1"/>
  <c r="AB227" i="1" s="1"/>
  <c r="AB53" i="1"/>
  <c r="AB55" i="1"/>
  <c r="AB56" i="1"/>
  <c r="AB168" i="1"/>
  <c r="AB173" i="1"/>
  <c r="AB176" i="1" s="1"/>
  <c r="AA213" i="1"/>
  <c r="AA227" i="1" s="1"/>
  <c r="AA55" i="1"/>
  <c r="AA56" i="1"/>
  <c r="AA53" i="1"/>
  <c r="AA168" i="1"/>
  <c r="AA173" i="1"/>
  <c r="AA176" i="1" s="1"/>
  <c r="Z56" i="1"/>
  <c r="Z55" i="1"/>
  <c r="Z213" i="1"/>
  <c r="Z53" i="1"/>
  <c r="Z234" i="1"/>
  <c r="Y234" i="1"/>
  <c r="Y249" i="1" s="1"/>
  <c r="Y250" i="1" s="1"/>
  <c r="Y53" i="1"/>
  <c r="Y55" i="1"/>
  <c r="Y56" i="1"/>
  <c r="Y213" i="1"/>
  <c r="Y227" i="1" s="1"/>
  <c r="X234" i="1"/>
  <c r="X249" i="1" s="1"/>
  <c r="X250" i="1" s="1"/>
  <c r="X56" i="1"/>
  <c r="X55" i="1"/>
  <c r="X53" i="1"/>
  <c r="X213" i="1"/>
  <c r="X227" i="1" s="1"/>
  <c r="Y168" i="1"/>
  <c r="Y173" i="1"/>
  <c r="Y176" i="1" s="1"/>
  <c r="W213" i="1"/>
  <c r="W227" i="1" s="1"/>
  <c r="W234" i="1"/>
  <c r="W249" i="1" s="1"/>
  <c r="W250" i="1" s="1"/>
  <c r="V56" i="1"/>
  <c r="V213" i="1"/>
  <c r="V53" i="1"/>
  <c r="V55" i="1"/>
  <c r="V234" i="1"/>
  <c r="AL230" i="1" l="1"/>
  <c r="AL228" i="1"/>
  <c r="AF228" i="1"/>
  <c r="AF230" i="1"/>
  <c r="AO228" i="1"/>
  <c r="AO230" i="1"/>
  <c r="Z227" i="1"/>
  <c r="C213" i="1"/>
  <c r="Z249" i="1"/>
  <c r="C234" i="1"/>
  <c r="V227" i="1"/>
  <c r="B213" i="1"/>
  <c r="V249" i="1"/>
  <c r="B234" i="1"/>
  <c r="AQ230" i="1"/>
  <c r="AQ228" i="1"/>
  <c r="AP230" i="1"/>
  <c r="AP228" i="1"/>
  <c r="AJ230" i="1"/>
  <c r="AJ228" i="1"/>
  <c r="AI230" i="1"/>
  <c r="AI228" i="1"/>
  <c r="AQ178" i="1"/>
  <c r="AQ177" i="1"/>
  <c r="S177" i="1"/>
  <c r="S178" i="1"/>
  <c r="AP178" i="1"/>
  <c r="AP177" i="1"/>
  <c r="AH230" i="1"/>
  <c r="AH228" i="1"/>
  <c r="AG230" i="1"/>
  <c r="AG228" i="1"/>
  <c r="AK228" i="1"/>
  <c r="AK230" i="1"/>
  <c r="AN230" i="1"/>
  <c r="AN228" i="1"/>
  <c r="AM230" i="1"/>
  <c r="AM228" i="1"/>
  <c r="AO177" i="1"/>
  <c r="AO178" i="1"/>
  <c r="AN177" i="1"/>
  <c r="AN178" i="1"/>
  <c r="AM178" i="1"/>
  <c r="AM177" i="1"/>
  <c r="Q177" i="1"/>
  <c r="Q178" i="1"/>
  <c r="AL168" i="1"/>
  <c r="AL173" i="1"/>
  <c r="AL176" i="1" s="1"/>
  <c r="F168" i="1"/>
  <c r="F173" i="1"/>
  <c r="F176" i="1" s="1"/>
  <c r="AK178" i="1"/>
  <c r="AK177" i="1"/>
  <c r="AJ177" i="1"/>
  <c r="AJ178" i="1"/>
  <c r="O177" i="1"/>
  <c r="O178" i="1"/>
  <c r="AI178" i="1"/>
  <c r="AI177" i="1"/>
  <c r="AH168" i="1"/>
  <c r="AH173" i="1"/>
  <c r="AH176" i="1" s="1"/>
  <c r="E168" i="1"/>
  <c r="E173" i="1"/>
  <c r="E176" i="1" s="1"/>
  <c r="AE230" i="1"/>
  <c r="AE228" i="1"/>
  <c r="AD230" i="1"/>
  <c r="AD228" i="1"/>
  <c r="AG168" i="1"/>
  <c r="AG173" i="1"/>
  <c r="AG176" i="1" s="1"/>
  <c r="D168" i="1"/>
  <c r="D173" i="1"/>
  <c r="D176" i="1" s="1"/>
  <c r="AF177" i="1"/>
  <c r="AF178" i="1"/>
  <c r="AE178" i="1"/>
  <c r="AE177" i="1"/>
  <c r="M178" i="1"/>
  <c r="M177" i="1"/>
  <c r="AD178" i="1"/>
  <c r="AD177" i="1"/>
  <c r="AC230" i="1"/>
  <c r="AC228" i="1"/>
  <c r="K177" i="1"/>
  <c r="K178" i="1"/>
  <c r="B177" i="1"/>
  <c r="B178" i="1"/>
  <c r="Z168" i="1"/>
  <c r="Z173" i="1"/>
  <c r="Z176" i="1" s="1"/>
  <c r="AC178" i="1"/>
  <c r="AC177" i="1"/>
  <c r="C168" i="1"/>
  <c r="C170" i="1" s="1"/>
  <c r="D169" i="1" s="1"/>
  <c r="C173" i="1"/>
  <c r="C176" i="1" s="1"/>
  <c r="AB230" i="1"/>
  <c r="AB228" i="1"/>
  <c r="AB178" i="1"/>
  <c r="AB177" i="1"/>
  <c r="Y230" i="1"/>
  <c r="Y228" i="1"/>
  <c r="AA230" i="1"/>
  <c r="AA228" i="1"/>
  <c r="X230" i="1"/>
  <c r="X228" i="1"/>
  <c r="AA178" i="1"/>
  <c r="AA177" i="1"/>
  <c r="Y177" i="1"/>
  <c r="Y178" i="1"/>
  <c r="I168" i="1"/>
  <c r="I170" i="1" s="1"/>
  <c r="I173" i="1"/>
  <c r="I176" i="1" s="1"/>
  <c r="V173" i="1"/>
  <c r="V176" i="1" s="1"/>
  <c r="V168" i="1"/>
  <c r="V170" i="1" s="1"/>
  <c r="W169" i="1" s="1"/>
  <c r="W230" i="1"/>
  <c r="W228" i="1"/>
  <c r="C227" i="1" l="1"/>
  <c r="Z228" i="1"/>
  <c r="Z230" i="1"/>
  <c r="B227" i="1"/>
  <c r="V228" i="1"/>
  <c r="V230" i="1"/>
  <c r="C249" i="1"/>
  <c r="Z250" i="1"/>
  <c r="B249" i="1"/>
  <c r="V250" i="1"/>
  <c r="AL177" i="1"/>
  <c r="AL178" i="1"/>
  <c r="F177" i="1"/>
  <c r="F178" i="1"/>
  <c r="AH177" i="1"/>
  <c r="AH178" i="1"/>
  <c r="E177" i="1"/>
  <c r="E178" i="1"/>
  <c r="D170" i="1"/>
  <c r="E169" i="1" s="1"/>
  <c r="E170" i="1" s="1"/>
  <c r="F169" i="1" s="1"/>
  <c r="F170" i="1" s="1"/>
  <c r="AG178" i="1"/>
  <c r="AG177" i="1"/>
  <c r="D177" i="1"/>
  <c r="D178" i="1"/>
  <c r="Z177" i="1"/>
  <c r="Z178" i="1"/>
  <c r="C177" i="1"/>
  <c r="C178" i="1"/>
  <c r="I177" i="1"/>
  <c r="I178" i="1"/>
  <c r="V177" i="1"/>
  <c r="V178" i="1"/>
  <c r="W168" i="1"/>
  <c r="W170" i="1" s="1"/>
  <c r="X169" i="1" s="1"/>
  <c r="W173" i="1"/>
  <c r="W176" i="1" s="1"/>
  <c r="X168" i="1"/>
  <c r="X173" i="1"/>
  <c r="X176" i="1" s="1"/>
  <c r="W177" i="1" l="1"/>
  <c r="W178" i="1"/>
  <c r="X170" i="1"/>
  <c r="Y169" i="1" s="1"/>
  <c r="Y170" i="1" s="1"/>
  <c r="Z169" i="1" s="1"/>
  <c r="X177" i="1"/>
  <c r="X178" i="1"/>
  <c r="Z170" i="1" l="1"/>
  <c r="AA169" i="1" s="1"/>
  <c r="AA170" i="1" s="1"/>
  <c r="AB169" i="1" s="1"/>
  <c r="AB170" i="1" s="1"/>
  <c r="AC169" i="1" s="1"/>
  <c r="AC170" i="1" s="1"/>
  <c r="AD169" i="1" s="1"/>
  <c r="M169" i="1" s="1"/>
  <c r="K169" i="1"/>
  <c r="K170" i="1" s="1"/>
  <c r="AD170" i="1" l="1"/>
  <c r="AE169" i="1" s="1"/>
  <c r="AE170" i="1" s="1"/>
  <c r="AF169" i="1" s="1"/>
  <c r="AF170" i="1" s="1"/>
  <c r="AG169" i="1" s="1"/>
  <c r="AG170" i="1" s="1"/>
  <c r="AH169" i="1" s="1"/>
  <c r="M170" i="1"/>
  <c r="AH170" i="1" l="1"/>
  <c r="AI169" i="1" s="1"/>
  <c r="AI170" i="1" s="1"/>
  <c r="AJ169" i="1" s="1"/>
  <c r="AJ170" i="1" s="1"/>
  <c r="AK169" i="1" s="1"/>
  <c r="AK170" i="1" s="1"/>
  <c r="O169" i="1"/>
  <c r="O170" i="1" s="1"/>
  <c r="AL169" i="1" l="1"/>
  <c r="AL170" i="1" s="1"/>
  <c r="AM169" i="1" s="1"/>
  <c r="AM170" i="1" s="1"/>
  <c r="AN169" i="1" s="1"/>
  <c r="AN170" i="1" s="1"/>
  <c r="AO169" i="1" s="1"/>
  <c r="AO170" i="1" s="1"/>
  <c r="Q169" i="1"/>
  <c r="Q170" i="1" s="1"/>
  <c r="S169" i="1" l="1"/>
  <c r="S170" i="1" s="1"/>
  <c r="AP169" i="1"/>
  <c r="AP170" i="1" s="1"/>
  <c r="AQ169" i="1" s="1"/>
  <c r="AQ170" i="1" s="1"/>
</calcChain>
</file>

<file path=xl/sharedStrings.xml><?xml version="1.0" encoding="utf-8"?>
<sst xmlns="http://schemas.openxmlformats.org/spreadsheetml/2006/main" count="556" uniqueCount="275">
  <si>
    <t>Itron, Inc. (ITRI) — Quarterly Financial Database</t>
  </si>
  <si>
    <t>All figures in USD thousands unless noted</t>
  </si>
  <si>
    <t>Consolidated Statements of Operations</t>
  </si>
  <si>
    <t>FY2021</t>
  </si>
  <si>
    <t>FY2022</t>
  </si>
  <si>
    <t>FY2023</t>
  </si>
  <si>
    <t>FY2024</t>
  </si>
  <si>
    <t>FY2025</t>
  </si>
  <si>
    <t>FY2026</t>
  </si>
  <si>
    <t>1H21</t>
  </si>
  <si>
    <t>2H21</t>
  </si>
  <si>
    <t>1H22</t>
  </si>
  <si>
    <t>2H22</t>
  </si>
  <si>
    <t>1H23</t>
  </si>
  <si>
    <t>2H23</t>
  </si>
  <si>
    <t>1H24</t>
  </si>
  <si>
    <t>2H24</t>
  </si>
  <si>
    <t>1H25</t>
  </si>
  <si>
    <t>2H25</t>
  </si>
  <si>
    <t>1H26</t>
  </si>
  <si>
    <t>2H26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</si>
  <si>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</si>
  <si>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</si>
  <si>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</si>
  <si>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</si>
  <si>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</si>
  <si>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</si>
  <si>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</si>
  <si>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</si>
  <si>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</si>
  <si>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</si>
  <si>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</si>
  <si>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</si>
  <si>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</si>
  <si>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</si>
  <si>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</si>
  <si>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</si>
  <si>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</si>
  <si>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</si>
  <si>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</si>
  <si>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</si>
  <si>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</si>
  <si>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</si>
  <si>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</si>
  <si>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</si>
  <si>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Revenues</t>
  </si>
  <si>
    <t xml:space="preserve">  Product revenues</t>
  </si>
  <si>
    <t xml:space="preserve">  Service revenues</t>
  </si>
  <si>
    <t xml:space="preserve">  Total revenues</t>
  </si>
  <si>
    <t>YoY %</t>
  </si>
  <si>
    <t>Product % of revenue</t>
  </si>
  <si>
    <t>Service % of revenue</t>
  </si>
  <si>
    <t>Cost of revenues</t>
  </si>
  <si>
    <t xml:space="preserve">  Product cost of revenues</t>
  </si>
  <si>
    <t xml:space="preserve">  Service cost of revenues</t>
  </si>
  <si>
    <t xml:space="preserve">  Total cost of revenues</t>
  </si>
  <si>
    <t>Gross profit</t>
  </si>
  <si>
    <t>Gross margin %</t>
  </si>
  <si>
    <t>Operating expenses</t>
  </si>
  <si>
    <t xml:space="preserve">  Sales, general and administrative</t>
  </si>
  <si>
    <t xml:space="preserve">    % of revenue</t>
  </si>
  <si>
    <t xml:space="preserve">  Research and development</t>
  </si>
  <si>
    <t xml:space="preserve">  Amortization of intangible assets</t>
  </si>
  <si>
    <t xml:space="preserve">  Restructuring</t>
  </si>
  <si>
    <t xml:space="preserve">  Loss on sale of business</t>
  </si>
  <si>
    <t xml:space="preserve">  Total operating expenses</t>
  </si>
  <si>
    <t>OpEx % of revenue</t>
  </si>
  <si>
    <t>Operating income</t>
  </si>
  <si>
    <t>Operating margin %</t>
  </si>
  <si>
    <t>Other income (expense)</t>
  </si>
  <si>
    <t xml:space="preserve">  Interest income</t>
  </si>
  <si>
    <t xml:space="preserve">  Interest expense</t>
  </si>
  <si>
    <t xml:space="preserve">  Other income (expense), net</t>
  </si>
  <si>
    <t xml:space="preserve">  Total other income (expense)</t>
  </si>
  <si>
    <t>Income before income taxes</t>
  </si>
  <si>
    <t>Income tax provision</t>
  </si>
  <si>
    <t>Effective tax rate %</t>
  </si>
  <si>
    <t>Net income</t>
  </si>
  <si>
    <t xml:space="preserve">  Net income attributable to noncontrolling interests</t>
  </si>
  <si>
    <t>Net income attributable to Itron, Inc.</t>
  </si>
  <si>
    <t>Net margin %</t>
  </si>
  <si>
    <t>Net income per common share — Basic</t>
  </si>
  <si>
    <t>Net income per common share — Diluted</t>
  </si>
  <si>
    <t>Weighted average common shares outstanding — Basic</t>
  </si>
  <si>
    <t>Weighted average common shares outstanding — Diluted</t>
  </si>
  <si>
    <t>Consolidated Balance Sheets</t>
  </si>
  <si>
    <t>ASSETS</t>
  </si>
  <si>
    <t>Current assets</t>
  </si>
  <si>
    <t xml:space="preserve">  Cash and cash equivalents</t>
  </si>
  <si>
    <t xml:space="preserve">  Accounts receivable, net</t>
  </si>
  <si>
    <t xml:space="preserve">  Inventories</t>
  </si>
  <si>
    <t xml:space="preserve">  Other current assets</t>
  </si>
  <si>
    <t xml:space="preserve">  Total current assets</t>
  </si>
  <si>
    <t>Property, plant, and equipment, net</t>
  </si>
  <si>
    <t>Deferred tax assets, net</t>
  </si>
  <si>
    <t>Other long-term assets</t>
  </si>
  <si>
    <t>Operating lease right-of-use assets, net</t>
  </si>
  <si>
    <t>Intangible assets, net</t>
  </si>
  <si>
    <t>Goodwill</t>
  </si>
  <si>
    <t>Total assets</t>
  </si>
  <si>
    <t>LIABILITIES AND EQUITY</t>
  </si>
  <si>
    <t>Current liabilities</t>
  </si>
  <si>
    <t xml:space="preserve">  Accounts payable</t>
  </si>
  <si>
    <t xml:space="preserve">  Other current liabilities</t>
  </si>
  <si>
    <t xml:space="preserve">  Wages and benefits payable</t>
  </si>
  <si>
    <t xml:space="preserve">  Taxes payable</t>
  </si>
  <si>
    <t xml:space="preserve">  Current portion of debt, net</t>
  </si>
  <si>
    <t xml:space="preserve">  Current portion of warranty</t>
  </si>
  <si>
    <t xml:space="preserve">  Unearned revenue</t>
  </si>
  <si>
    <t xml:space="preserve">  Total current liabilities</t>
  </si>
  <si>
    <t>Long-term debt, net</t>
  </si>
  <si>
    <t>Long-term warranty</t>
  </si>
  <si>
    <t>Pension benefit obligation</t>
  </si>
  <si>
    <t>Deferred tax liabilities, net</t>
  </si>
  <si>
    <t>Operating lease liabilities</t>
  </si>
  <si>
    <t>Other long-term obligations</t>
  </si>
  <si>
    <t>Total liabilities</t>
  </si>
  <si>
    <t>Equity</t>
  </si>
  <si>
    <t xml:space="preserve">  Preferred stock</t>
  </si>
  <si>
    <t xml:space="preserve">  Common stock</t>
  </si>
  <si>
    <t xml:space="preserve">  Accumulated other comprehensive loss, net</t>
  </si>
  <si>
    <t xml:space="preserve">  Retained earnings (accumulated deficit)</t>
  </si>
  <si>
    <t xml:space="preserve">  Total Itron, Inc. shareholders' equity</t>
  </si>
  <si>
    <t xml:space="preserve">  Noncontrolling interests</t>
  </si>
  <si>
    <t xml:space="preserve">  Total equity</t>
  </si>
  <si>
    <t>Total liabilities and equity</t>
  </si>
  <si>
    <t>Consolidated Statements of Cash Flows</t>
  </si>
  <si>
    <t>Operating activities</t>
  </si>
  <si>
    <t xml:space="preserve">  Net income</t>
  </si>
  <si>
    <t>Adjustments to reconcile net income to net cash provided by operating activities:</t>
  </si>
  <si>
    <t xml:space="preserve">    Depreciation and amortization</t>
  </si>
  <si>
    <t xml:space="preserve">    Non-cash operating lease expense</t>
  </si>
  <si>
    <t xml:space="preserve">    Stock-based compensation</t>
  </si>
  <si>
    <t xml:space="preserve">    Amortization of prepaid debt fees</t>
  </si>
  <si>
    <t xml:space="preserve">    Deferred taxes, net</t>
  </si>
  <si>
    <t xml:space="preserve">    Loss on sale of business</t>
  </si>
  <si>
    <t xml:space="preserve">    Restructuring, non-cash</t>
  </si>
  <si>
    <t xml:space="preserve">    Other adjustments, net</t>
  </si>
  <si>
    <t>Changes in operating assets and liabilities: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</si>
  <si>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</si>
  <si>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</si>
  <si>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</si>
  <si>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</si>
  <si>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Accounts payable, other current liabilities, and taxes payable</t>
  </si>
  <si>
    <t xml:space="preserve">    Wages and benefits payable</t>
  </si>
  <si>
    <t xml:space="preserve">    Unearned revenue</t>
  </si>
  <si>
    <t xml:space="preserve">    Warranty</t>
  </si>
  <si>
    <t xml:space="preserve">    Restructuring</t>
  </si>
  <si>
    <t xml:space="preserve">    Other operating, net</t>
  </si>
  <si>
    <t xml:space="preserve">  Net cash provided by operating activities</t>
  </si>
  <si>
    <t>Investing activities</t>
  </si>
  <si>
    <t xml:space="preserve">  Net proceeds related to the sale of business</t>
  </si>
  <si>
    <t xml:space="preserve">  Acquisitions of property, plant, and equipment</t>
  </si>
  <si>
    <t xml:space="preserve">  Business acquisitions, net of cash and cash equivalents acquired</t>
  </si>
  <si>
    <t xml:space="preserve">  Other investing, net</t>
  </si>
  <si>
    <t xml:space="preserve">  Net cash used in investing activities</t>
  </si>
  <si>
    <t>Financing activities</t>
  </si>
  <si>
    <t xml:space="preserve">  Proceeds from borrowings</t>
  </si>
  <si>
    <t xml:space="preserve">  Payments on debt</t>
  </si>
  <si>
    <t xml:space="preserve">  Issuance of common stock</t>
  </si>
  <si>
    <t xml:space="preserve">  Proceeds from common stock offering</t>
  </si>
  <si>
    <t xml:space="preserve">  Proceeds from sale of warrants</t>
  </si>
  <si>
    <t xml:space="preserve">  Purchases of convertible note hedge contracts</t>
  </si>
  <si>
    <t xml:space="preserve">  Payments on call spread for convertible offering</t>
  </si>
  <si>
    <t xml:space="preserve">  Repurchase of common stock</t>
  </si>
  <si>
    <t xml:space="preserve">  Prepaid debt fees</t>
  </si>
  <si>
    <t xml:space="preserve">  Other financing, net</t>
  </si>
  <si>
    <t xml:space="preserve">  Net cash provided by (used in) financing activities</t>
  </si>
  <si>
    <t>Effect of foreign exchange rate changes on cash and cash equivalents</t>
  </si>
  <si>
    <t>Increase (decrease) in cash and cash equivalents</t>
  </si>
  <si>
    <t>Cash and cash equivalents at beginning of period</t>
  </si>
  <si>
    <t>Cash and cash equivalents at end of period</t>
  </si>
  <si>
    <t>Free Cash Flow Derivation</t>
  </si>
  <si>
    <t>Operating cash flow</t>
  </si>
  <si>
    <t>Capital expenditures</t>
  </si>
  <si>
    <t>Free cash flow (FCF)</t>
  </si>
  <si>
    <t>FCF margin %</t>
  </si>
  <si>
    <t>FCF per share</t>
  </si>
  <si>
    <t>Segment Data</t>
  </si>
  <si>
    <t>Device Solutions</t>
  </si>
  <si>
    <t xml:space="preserve">  Product revenue</t>
  </si>
  <si>
    <t xml:space="preserve">  Service revenue</t>
  </si>
  <si>
    <t xml:space="preserve">  Total revenue</t>
  </si>
  <si>
    <t xml:space="preserve">  YoY %</t>
  </si>
  <si>
    <t xml:space="preserve">  % of total company revenue</t>
  </si>
  <si>
    <t xml:space="preserve">  Service % of segment revenue</t>
  </si>
  <si>
    <t xml:space="preserve">  Segment operating income / Adj segment OI</t>
  </si>
  <si>
    <t xml:space="preserve">  Segment operating margin %</t>
  </si>
  <si>
    <t>Networked Solutions</t>
  </si>
  <si>
    <t>Outcomes</t>
  </si>
  <si>
    <t>Resiliency Solutions (from Q4'25)</t>
  </si>
  <si>
    <t>Corporate unallocated</t>
  </si>
  <si>
    <t xml:space="preserve">  Corporate unallocated operating expense</t>
  </si>
  <si>
    <t>Segment Revenue Reconciliation</t>
  </si>
  <si>
    <t>Sum of segment revenues</t>
  </si>
  <si>
    <t>Total consolidated revenue</t>
  </si>
  <si>
    <t>Difference (should be 0)</t>
  </si>
  <si>
    <t>Total Service Revenue Build (ARR Proxy)</t>
  </si>
  <si>
    <t>Device Solutions — service</t>
  </si>
  <si>
    <t>Networked Solutions — service</t>
  </si>
  <si>
    <t>Outcomes — service</t>
  </si>
  <si>
    <t>Resiliency Solutions — service</t>
  </si>
  <si>
    <t>Total service revenue</t>
  </si>
  <si>
    <t>Service % of total revenue</t>
  </si>
  <si>
    <t>YoY service revenue growth %</t>
  </si>
  <si>
    <t>Geographic &amp; Operating Data</t>
  </si>
  <si>
    <t>Revenue by Geography</t>
  </si>
  <si>
    <t xml:space="preserve">  United States and Canada</t>
  </si>
  <si>
    <t xml:space="preserve">  EMEA</t>
  </si>
  <si>
    <t xml:space="preserve">  Asia Pacific (&amp; Latin America pre-2021)</t>
  </si>
  <si>
    <t>Total revenue</t>
  </si>
  <si>
    <t xml:space="preserve">  Total backlog</t>
  </si>
  <si>
    <t>Key Balance Sheet Metrics</t>
  </si>
  <si>
    <t>Gross cash (cash + ST investments)</t>
  </si>
  <si>
    <t>Total debt (current + LT debt)</t>
  </si>
  <si>
    <t>Net cash (debt)</t>
  </si>
  <si>
    <t>Working capital</t>
  </si>
  <si>
    <t>Current ratio</t>
  </si>
  <si>
    <t>Non-GAAP Reconciliations (from MD&amp;A)</t>
  </si>
  <si>
    <t>Non-GAAP Operating Expenses</t>
  </si>
  <si>
    <t xml:space="preserve">  GAAP operating expenses</t>
  </si>
  <si>
    <t xml:space="preserve">    Amortization of intangible assets</t>
  </si>
  <si>
    <t xml:space="preserve">    Acquisition and integration</t>
  </si>
  <si>
    <t xml:space="preserve">  Non-GAAP operating expenses</t>
  </si>
  <si>
    <t>Non-GAAP OpEx % of revenue</t>
  </si>
  <si>
    <t>Non-GAAP Operating Income</t>
  </si>
  <si>
    <t xml:space="preserve">  GAAP operating income</t>
  </si>
  <si>
    <t xml:space="preserve">  Non-GAAP operating income</t>
  </si>
  <si>
    <t>Non-GAAP operating margin %</t>
  </si>
  <si>
    <t>Non-GAAP Net Income &amp; Diluted EPS</t>
  </si>
  <si>
    <t xml:space="preserve">  GAAP net income attributable to Itron, Inc.</t>
  </si>
  <si>
    <t xml:space="preserve">    Amortization of debt placement fees</t>
  </si>
  <si>
    <t xml:space="preserve">    Income tax effect of non-GAAP adjustments</t>
  </si>
  <si>
    <t xml:space="preserve">  Non-GAAP net income attributable to Itron, Inc.</t>
  </si>
  <si>
    <t>Non-GAAP net margin %</t>
  </si>
  <si>
    <t>Non-GAAP diluted EPS</t>
  </si>
  <si>
    <t>Non-GAAP diluted shares outstanding</t>
  </si>
  <si>
    <t>Adjusted EBITDA</t>
  </si>
  <si>
    <t xml:space="preserve">    Interest income</t>
  </si>
  <si>
    <t xml:space="preserve">    Interest expense</t>
  </si>
  <si>
    <t xml:space="preserve">    Income tax provision</t>
  </si>
  <si>
    <t xml:space="preserve">  Adjusted EBITDA</t>
  </si>
  <si>
    <t>Adjusted EBITDA margin %</t>
  </si>
  <si>
    <t xml:space="preserve">  Quarterly bookings</t>
  </si>
  <si>
    <t xml:space="preserve">  Twelve month backlog</t>
  </si>
  <si>
    <t xml:space="preserve">    Loss on extinguishment of debt </t>
  </si>
  <si>
    <t>Less: Cash classified within assets held for sale</t>
  </si>
  <si>
    <t xml:space="preserve">    Goodwill impairment</t>
  </si>
  <si>
    <t xml:space="preserve">  Goodwill impairment</t>
  </si>
  <si>
    <t xml:space="preserve">    Russian currency translation write-off</t>
  </si>
  <si>
    <t xml:space="preserve">    Software project impairment</t>
  </si>
  <si>
    <t>Backlog &amp; RPO (millions)</t>
  </si>
  <si>
    <t xml:space="preserve">    Corporate transition cost </t>
  </si>
  <si>
    <t xml:space="preserve">    Strategic initiative </t>
  </si>
  <si>
    <t xml:space="preserve">    Debt extinguishment </t>
  </si>
  <si>
    <t xml:space="preserve">    Gain on sale of equity method investment </t>
  </si>
  <si>
    <t xml:space="preserve">  Gross profit </t>
  </si>
  <si>
    <t xml:space="preserve">  Gross margin % </t>
  </si>
  <si>
    <t>Adjusted gross margin (total)</t>
  </si>
  <si>
    <t>Annual recurring revenue (millions)</t>
  </si>
  <si>
    <t>DSO</t>
  </si>
  <si>
    <t>DIO</t>
  </si>
  <si>
    <t>DPO</t>
  </si>
  <si>
    <t>Cash Conversion Cycle</t>
  </si>
  <si>
    <t xml:space="preserve">  Shipped</t>
  </si>
  <si>
    <t xml:space="preserve">  Book to bill</t>
  </si>
  <si>
    <t xml:space="preserve">    Raw materials</t>
  </si>
  <si>
    <t xml:space="preserve">    Work in process</t>
  </si>
  <si>
    <t xml:space="preserve">    Finished goods </t>
  </si>
  <si>
    <t xml:space="preserve">    % of service revenue</t>
  </si>
  <si>
    <t>% of TTM service revenue</t>
  </si>
  <si>
    <t>Product gross margin %</t>
  </si>
  <si>
    <t>Service gross margin %</t>
  </si>
  <si>
    <t>Operating Metrics</t>
  </si>
  <si>
    <t xml:space="preserve">Endpoints under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</si>
</sst>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80808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i/>
      <sz val="10"/>
      <name val="Arial"/>
      <family val="2"/>
    </font>
    <font>
      <sz val="11"/>
      <color theme="4" tint="-0.249977111117893"/>
      <name val="Calibri"/>
      <family val="2"/>
      <charset val="1"/>
    </font>
    <font>
      <sz val="10"/>
      <color theme="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sz val="11"/>
      <color theme="1"/>
      <name val="Calibri"/>
      <family val="2"/>
      <charset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42">
    <xf numFmtId="0" fontId="0" fillId="0" borderId="0" xfId="0"/>
    <xf numFmtId="0" fontId="0" fillId="2" borderId="1" xfId="0" applyFill="1" applyBorder="1"/>
    <xf numFmtId="0" fontId="4" fillId="0" borderId="2" xfId="0" applyFont="1" applyBorder="1" applyAlignment="1">
      <alignment horizontal="center"/>
    </xf>
    <xf numFmtId="0" fontId="0" fillId="0" borderId="2" xfId="0" applyBorder="1"/>
    <xf numFmtId="3" fontId="0" fillId="0" borderId="0" xfId="0" applyNumberFormat="1"/>
    <xf numFmtId="0" fontId="9" fillId="0" borderId="0" xfId="0" applyFont="1"/>
    <xf numFmtId="3" fontId="9" fillId="0" borderId="0" xfId="0" applyNumberFormat="1" applyFont="1"/>
    <xf numFmtId="3" fontId="0" fillId="0" borderId="2" xfId="0" applyNumberFormat="1" applyBorder="1"/>
    <xf numFmtId="164" fontId="0" fillId="0" borderId="0" xfId="0" applyNumberFormat="1"/>
    <xf numFmtId="2" fontId="0" fillId="0" borderId="0" xfId="0" applyNumberFormat="1"/>
    <xf numFmtId="0" fontId="0" fillId="3" borderId="1" xfId="0" applyFill="1" applyBorder="1"/>
    <xf numFmtId="0" fontId="12" fillId="0" borderId="2" xfId="0" applyFont="1" applyBorder="1" applyAlignment="1">
      <alignment horizontal="center"/>
    </xf>
    <xf numFmtId="0" fontId="9" fillId="0" borderId="2" xfId="0" applyFont="1" applyBorder="1"/>
    <xf numFmtId="3" fontId="9" fillId="0" borderId="2" xfId="0" applyNumberFormat="1" applyFont="1" applyBorder="1"/>
    <xf numFmtId="165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1" fillId="3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164" fontId="0" fillId="0" borderId="0" xfId="1" applyNumberFormat="1" applyFont="1"/>
    <xf numFmtId="4" fontId="0" fillId="0" borderId="0" xfId="0" applyNumberFormat="1"/>
    <xf numFmtId="0" fontId="10" fillId="0" borderId="2" xfId="0" applyFont="1" applyBorder="1" applyAlignment="1">
      <alignment wrapText="1"/>
    </xf>
    <xf numFmtId="0" fontId="10" fillId="0" borderId="2" xfId="0" applyFont="1" applyBorder="1"/>
    <xf numFmtId="3" fontId="10" fillId="0" borderId="2" xfId="0" applyNumberFormat="1" applyFont="1" applyBorder="1"/>
    <xf numFmtId="164" fontId="16" fillId="0" borderId="0" xfId="1" applyNumberFormat="1" applyFont="1"/>
    <xf numFmtId="2" fontId="0" fillId="0" borderId="2" xfId="0" applyNumberFormat="1" applyBorder="1"/>
    <xf numFmtId="0" fontId="17" fillId="0" borderId="0" xfId="0" applyFont="1" applyAlignment="1">
      <alignment wrapText="1"/>
    </xf>
    <xf numFmtId="3" fontId="0" fillId="2" borderId="1" xfId="0" applyNumberFormat="1" applyFill="1" applyBorder="1"/>
    <xf numFmtId="3" fontId="4" fillId="0" borderId="2" xfId="0" applyNumberFormat="1" applyFont="1" applyBorder="1" applyAlignment="1">
      <alignment horizontal="center"/>
    </xf>
    <xf numFmtId="3" fontId="0" fillId="3" borderId="1" xfId="0" applyNumberFormat="1" applyFill="1" applyBorder="1"/>
    <xf numFmtId="3" fontId="12" fillId="0" borderId="2" xfId="0" applyNumberFormat="1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58"/>
  <sheetViews>
    <sheetView tabSelected="1" zoomScale="132" zoomScaleNormal="132" workbookViewId="0">
      <pane xSplit="1" ySplit="5" topLeftCell="AL338" activePane="bottomRight" state="frozen"/>
      <selection pane="topRight" activeCell="B1" sqref="B1"/>
      <selection pane="bottomLeft" activeCell="A6" sqref="A6"/>
      <selection pane="bottomRight" activeCell="V354" sqref="V354"/>
    </sheetView>
  </sheetViews>
  <sheetFormatPr baseColWidth="10" defaultColWidth="8.6640625" defaultRowHeight="15" x14ac:dyDescent="0.2"/>
  <cols>
    <col min="1" max="1" width="48" style="18" customWidth="1"/>
    <col min="2" max="3" width="12" customWidth="1"/>
    <col min="4" max="4" width="12" style="4" customWidth="1"/>
    <col min="5" max="45" width="12" customWidth="1"/>
  </cols>
  <sheetData>
    <row r="1" spans="1:45" ht="38" x14ac:dyDescent="0.2">
      <c r="A1" s="15" t="s">
        <v>0</v>
      </c>
    </row>
    <row r="2" spans="1:45" x14ac:dyDescent="0.2">
      <c r="A2" s="16" t="s">
        <v>1</v>
      </c>
    </row>
    <row r="4" spans="1:45" ht="16" x14ac:dyDescent="0.2">
      <c r="A4" s="17" t="s">
        <v>2</v>
      </c>
      <c r="B4" s="1"/>
      <c r="C4" s="1"/>
      <c r="D4" s="3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">
      <c r="B5" s="2" t="s">
        <v>3</v>
      </c>
      <c r="C5" s="2" t="s">
        <v>4</v>
      </c>
      <c r="D5" s="39" t="s">
        <v>5</v>
      </c>
      <c r="E5" s="2" t="s">
        <v>6</v>
      </c>
      <c r="F5" s="2" t="s">
        <v>7</v>
      </c>
      <c r="G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37</v>
      </c>
      <c r="AM5" s="2" t="s">
        <v>38</v>
      </c>
      <c r="AN5" s="2" t="s">
        <v>39</v>
      </c>
      <c r="AO5" s="2" t="s">
        <v>40</v>
      </c>
      <c r="AP5" s="2" t="s">
        <v>41</v>
      </c>
      <c r="AQ5" s="2" t="s">
        <v>42</v>
      </c>
      <c r="AR5" s="2" t="s">
        <v>43</v>
      </c>
      <c r="AS5" s="2" t="s">
        <v>44</v>
      </c>
    </row>
    <row r="7" spans="1:45" x14ac:dyDescent="0.2">
      <c r="A7" s="19" t="s">
        <v>45</v>
      </c>
    </row>
    <row r="8" spans="1:45" s="5" customFormat="1" x14ac:dyDescent="0.2">
      <c r="A8" s="20" t="s">
        <v>46</v>
      </c>
      <c r="B8" s="4">
        <f>SUM(V8,W8,X8,Y8)</f>
        <v>1678195</v>
      </c>
      <c r="C8" s="4">
        <f>SUM(Z8:AC8)</f>
        <v>1500243</v>
      </c>
      <c r="D8" s="4">
        <f>SUM(AD8:AG8)</f>
        <v>1863489</v>
      </c>
      <c r="E8" s="4">
        <f>SUM(AH8:AK8)</f>
        <v>2131379</v>
      </c>
      <c r="F8" s="4">
        <f>SUM(AL8:AO8)</f>
        <v>2008976</v>
      </c>
      <c r="V8" s="6">
        <v>442804</v>
      </c>
      <c r="W8" s="6">
        <v>411719</v>
      </c>
      <c r="X8" s="6">
        <v>410947</v>
      </c>
      <c r="Y8" s="6">
        <v>412725</v>
      </c>
      <c r="Z8" s="6">
        <v>399810</v>
      </c>
      <c r="AA8" s="6">
        <v>359898</v>
      </c>
      <c r="AB8" s="6">
        <v>347791</v>
      </c>
      <c r="AC8" s="6">
        <v>392744</v>
      </c>
      <c r="AD8" s="6">
        <v>416324</v>
      </c>
      <c r="AE8" s="6">
        <v>464803</v>
      </c>
      <c r="AF8" s="6">
        <v>480355</v>
      </c>
      <c r="AG8" s="6">
        <v>502007</v>
      </c>
      <c r="AH8" s="6">
        <v>527822</v>
      </c>
      <c r="AI8" s="6">
        <v>532907</v>
      </c>
      <c r="AJ8" s="6">
        <v>538249</v>
      </c>
      <c r="AK8" s="6">
        <v>532401</v>
      </c>
      <c r="AL8" s="6">
        <v>523141</v>
      </c>
      <c r="AM8" s="6">
        <v>517184</v>
      </c>
      <c r="AN8" s="6">
        <v>494323</v>
      </c>
      <c r="AO8" s="6">
        <v>474328</v>
      </c>
      <c r="AP8" s="6">
        <v>477801</v>
      </c>
      <c r="AQ8" s="6">
        <v>453462</v>
      </c>
    </row>
    <row r="9" spans="1:45" s="5" customFormat="1" x14ac:dyDescent="0.2">
      <c r="A9" s="20" t="s">
        <v>47</v>
      </c>
      <c r="B9" s="4">
        <f>SUM(V9,W9,X9,Y9)</f>
        <v>303377</v>
      </c>
      <c r="C9" s="4">
        <f>SUM(Z9:AC9)</f>
        <v>295321</v>
      </c>
      <c r="D9" s="4">
        <f t="shared" ref="D9:D10" si="0">SUM(AD9:AG9)</f>
        <v>310144</v>
      </c>
      <c r="E9" s="4">
        <f>SUM(AH9:AK9)</f>
        <v>309458</v>
      </c>
      <c r="F9" s="4">
        <f>SUM(AL9:AO9)</f>
        <v>358218</v>
      </c>
      <c r="V9" s="6">
        <v>76770</v>
      </c>
      <c r="W9" s="6">
        <v>77693</v>
      </c>
      <c r="X9" s="6">
        <v>76002</v>
      </c>
      <c r="Y9" s="6">
        <v>72912</v>
      </c>
      <c r="Z9" s="6">
        <v>75521</v>
      </c>
      <c r="AA9" s="6">
        <v>71984</v>
      </c>
      <c r="AB9" s="6">
        <v>73069</v>
      </c>
      <c r="AC9" s="6">
        <v>74747</v>
      </c>
      <c r="AD9" s="6">
        <v>78294</v>
      </c>
      <c r="AE9" s="6">
        <v>76267</v>
      </c>
      <c r="AF9" s="6">
        <v>80417</v>
      </c>
      <c r="AG9" s="6">
        <v>75166</v>
      </c>
      <c r="AH9" s="6">
        <v>75620</v>
      </c>
      <c r="AI9" s="6">
        <v>76162</v>
      </c>
      <c r="AJ9" s="6">
        <v>77213</v>
      </c>
      <c r="AK9" s="6">
        <v>80463</v>
      </c>
      <c r="AL9" s="6">
        <v>84010</v>
      </c>
      <c r="AM9" s="6">
        <v>89577</v>
      </c>
      <c r="AN9" s="6">
        <v>87302</v>
      </c>
      <c r="AO9" s="6">
        <v>97329</v>
      </c>
      <c r="AP9" s="6">
        <v>109181</v>
      </c>
      <c r="AQ9" s="6">
        <v>109440</v>
      </c>
    </row>
    <row r="10" spans="1:45" x14ac:dyDescent="0.2">
      <c r="A10" s="21" t="s">
        <v>48</v>
      </c>
      <c r="B10" s="7">
        <f>SUM(V10,W10,X10,Y10)</f>
        <v>1981572</v>
      </c>
      <c r="C10" s="7">
        <f>SUM(Z10:AC10)</f>
        <v>1795564</v>
      </c>
      <c r="D10" s="7">
        <f t="shared" si="0"/>
        <v>2173633</v>
      </c>
      <c r="E10" s="7">
        <f>SUM(AH10:AK10)</f>
        <v>2440837</v>
      </c>
      <c r="F10" s="7">
        <f>SUM(AL10:AO10)</f>
        <v>2367194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7">
        <f>SUM(V8:V9)</f>
        <v>519574</v>
      </c>
      <c r="W10" s="7">
        <f>SUM(W8:W9)</f>
        <v>489412</v>
      </c>
      <c r="X10" s="7">
        <f t="shared" ref="X10:AS10" si="1">SUM(X8:X9)</f>
        <v>486949</v>
      </c>
      <c r="Y10" s="7">
        <f t="shared" si="1"/>
        <v>485637</v>
      </c>
      <c r="Z10" s="7">
        <f t="shared" si="1"/>
        <v>475331</v>
      </c>
      <c r="AA10" s="7">
        <f t="shared" si="1"/>
        <v>431882</v>
      </c>
      <c r="AB10" s="7">
        <f t="shared" si="1"/>
        <v>420860</v>
      </c>
      <c r="AC10" s="7">
        <f t="shared" si="1"/>
        <v>467491</v>
      </c>
      <c r="AD10" s="7">
        <f t="shared" si="1"/>
        <v>494618</v>
      </c>
      <c r="AE10" s="7">
        <f t="shared" si="1"/>
        <v>541070</v>
      </c>
      <c r="AF10" s="7">
        <f t="shared" si="1"/>
        <v>560772</v>
      </c>
      <c r="AG10" s="7">
        <f t="shared" si="1"/>
        <v>577173</v>
      </c>
      <c r="AH10" s="7">
        <f t="shared" si="1"/>
        <v>603442</v>
      </c>
      <c r="AI10" s="7">
        <f t="shared" si="1"/>
        <v>609069</v>
      </c>
      <c r="AJ10" s="7">
        <f t="shared" si="1"/>
        <v>615462</v>
      </c>
      <c r="AK10" s="7">
        <f t="shared" si="1"/>
        <v>612864</v>
      </c>
      <c r="AL10" s="7">
        <f t="shared" si="1"/>
        <v>607151</v>
      </c>
      <c r="AM10" s="7">
        <f t="shared" si="1"/>
        <v>606761</v>
      </c>
      <c r="AN10" s="7">
        <f t="shared" si="1"/>
        <v>581625</v>
      </c>
      <c r="AO10" s="7">
        <f t="shared" si="1"/>
        <v>571657</v>
      </c>
      <c r="AP10" s="7">
        <f t="shared" si="1"/>
        <v>586982</v>
      </c>
      <c r="AQ10" s="7">
        <f t="shared" si="1"/>
        <v>562902</v>
      </c>
      <c r="AR10" s="7">
        <f t="shared" si="1"/>
        <v>0</v>
      </c>
      <c r="AS10" s="7">
        <f t="shared" si="1"/>
        <v>0</v>
      </c>
    </row>
    <row r="11" spans="1:45" x14ac:dyDescent="0.2">
      <c r="A11" s="22" t="s">
        <v>49</v>
      </c>
      <c r="Z11" s="35">
        <f t="shared" ref="Z11:AQ11" si="2">(Z10-V10)/V10</f>
        <v>-8.515245181629566E-2</v>
      </c>
      <c r="AA11" s="35">
        <f t="shared" si="2"/>
        <v>-0.11754922233210464</v>
      </c>
      <c r="AB11" s="35">
        <f t="shared" si="2"/>
        <v>-0.13572057854107925</v>
      </c>
      <c r="AC11" s="35">
        <f t="shared" si="2"/>
        <v>-3.7365357252433402E-2</v>
      </c>
      <c r="AD11" s="35">
        <f t="shared" si="2"/>
        <v>4.0575935505994767E-2</v>
      </c>
      <c r="AE11" s="35">
        <f t="shared" si="2"/>
        <v>0.25281905705725177</v>
      </c>
      <c r="AF11" s="35">
        <f t="shared" si="2"/>
        <v>0.33244309271491707</v>
      </c>
      <c r="AG11" s="35">
        <f t="shared" si="2"/>
        <v>0.23461842046157039</v>
      </c>
      <c r="AH11" s="35">
        <f t="shared" si="2"/>
        <v>0.22001625496848073</v>
      </c>
      <c r="AI11" s="35">
        <f t="shared" si="2"/>
        <v>0.12567505128726411</v>
      </c>
      <c r="AJ11" s="35">
        <f t="shared" si="2"/>
        <v>9.7526267359996574E-2</v>
      </c>
      <c r="AK11" s="35">
        <f t="shared" si="2"/>
        <v>6.1837611946504771E-2</v>
      </c>
      <c r="AL11" s="35">
        <f t="shared" si="2"/>
        <v>6.1464067797733666E-3</v>
      </c>
      <c r="AM11" s="35">
        <f t="shared" si="2"/>
        <v>-3.7893900362684688E-3</v>
      </c>
      <c r="AN11" s="35">
        <f t="shared" si="2"/>
        <v>-5.4978211489905143E-2</v>
      </c>
      <c r="AO11" s="35">
        <f t="shared" si="2"/>
        <v>-6.7236776837928156E-2</v>
      </c>
      <c r="AP11" s="35">
        <f t="shared" si="2"/>
        <v>-3.3219083885227894E-2</v>
      </c>
      <c r="AQ11" s="35">
        <f t="shared" si="2"/>
        <v>-7.2283815208953772E-2</v>
      </c>
    </row>
    <row r="12" spans="1:45" x14ac:dyDescent="0.2">
      <c r="A12" s="22" t="s">
        <v>50</v>
      </c>
      <c r="B12" s="8">
        <f>B8/B10</f>
        <v>0.84690084438011837</v>
      </c>
      <c r="C12" s="8">
        <f>C8/C10</f>
        <v>0.83552744430162329</v>
      </c>
      <c r="D12" s="8">
        <f>D8/D10</f>
        <v>0.85731537936717006</v>
      </c>
      <c r="E12" s="8">
        <f>E8/E10</f>
        <v>0.87321644173699431</v>
      </c>
      <c r="F12" s="8">
        <f>F8/F10</f>
        <v>0.84867399968063451</v>
      </c>
      <c r="V12" s="8">
        <f>V8/V10</f>
        <v>0.85224433863126325</v>
      </c>
      <c r="W12" s="8">
        <f>W8/W10</f>
        <v>0.84125235997482695</v>
      </c>
      <c r="X12" s="8">
        <f t="shared" ref="X12:AS12" si="3">X8/X10</f>
        <v>0.84392205343886117</v>
      </c>
      <c r="Y12" s="8">
        <f t="shared" si="3"/>
        <v>0.84986316940430817</v>
      </c>
      <c r="Z12" s="8">
        <f t="shared" si="3"/>
        <v>0.84111913592843723</v>
      </c>
      <c r="AA12" s="8">
        <f t="shared" si="3"/>
        <v>0.8333248433599918</v>
      </c>
      <c r="AB12" s="8">
        <f t="shared" si="3"/>
        <v>0.8263816946252911</v>
      </c>
      <c r="AC12" s="8">
        <f t="shared" si="3"/>
        <v>0.84011029089330058</v>
      </c>
      <c r="AD12" s="8">
        <f t="shared" si="3"/>
        <v>0.84170814648880554</v>
      </c>
      <c r="AE12" s="8">
        <f t="shared" si="3"/>
        <v>0.85904411628809585</v>
      </c>
      <c r="AF12" s="8">
        <f t="shared" si="3"/>
        <v>0.85659590707096644</v>
      </c>
      <c r="AG12" s="8">
        <f t="shared" si="3"/>
        <v>0.86976868287324594</v>
      </c>
      <c r="AH12" s="8">
        <f t="shared" si="3"/>
        <v>0.87468555387261737</v>
      </c>
      <c r="AI12" s="8">
        <f t="shared" si="3"/>
        <v>0.87495341250334524</v>
      </c>
      <c r="AJ12" s="8">
        <f t="shared" si="3"/>
        <v>0.87454465101013545</v>
      </c>
      <c r="AK12" s="8">
        <f t="shared" si="3"/>
        <v>0.86870986058897248</v>
      </c>
      <c r="AL12" s="8">
        <f t="shared" si="3"/>
        <v>0.86163244398839822</v>
      </c>
      <c r="AM12" s="8">
        <f t="shared" si="3"/>
        <v>0.85236856027332009</v>
      </c>
      <c r="AN12" s="8">
        <f t="shared" si="3"/>
        <v>0.84989984955942399</v>
      </c>
      <c r="AO12" s="8">
        <f t="shared" si="3"/>
        <v>0.82974231051137304</v>
      </c>
      <c r="AP12" s="8">
        <f t="shared" si="3"/>
        <v>0.81399599987733862</v>
      </c>
      <c r="AQ12" s="8">
        <f t="shared" si="3"/>
        <v>0.80557894624641591</v>
      </c>
      <c r="AR12" s="8" t="e">
        <f t="shared" si="3"/>
        <v>#DIV/0!</v>
      </c>
      <c r="AS12" s="8" t="e">
        <f t="shared" si="3"/>
        <v>#DIV/0!</v>
      </c>
    </row>
    <row r="13" spans="1:45" x14ac:dyDescent="0.2">
      <c r="A13" s="22" t="s">
        <v>51</v>
      </c>
      <c r="B13" s="8">
        <f>B9/B10</f>
        <v>0.15309915561988158</v>
      </c>
      <c r="C13" s="8">
        <f>C9/C10</f>
        <v>0.16447255569837665</v>
      </c>
      <c r="D13" s="8">
        <f>D9/D10</f>
        <v>0.14268462063282991</v>
      </c>
      <c r="E13" s="8">
        <f>E9/E10</f>
        <v>0.12678355826300569</v>
      </c>
      <c r="F13" s="8">
        <f>F9/F10</f>
        <v>0.15132600031936547</v>
      </c>
      <c r="V13" s="8">
        <f>V9/V10</f>
        <v>0.14775566136873669</v>
      </c>
      <c r="W13" s="8">
        <f>W9/W10</f>
        <v>0.15874764002517305</v>
      </c>
      <c r="X13" s="8">
        <f t="shared" ref="X13:AS13" si="4">X9/X10</f>
        <v>0.15607794656113885</v>
      </c>
      <c r="Y13" s="8">
        <f t="shared" si="4"/>
        <v>0.15013683059569186</v>
      </c>
      <c r="Z13" s="8">
        <f t="shared" si="4"/>
        <v>0.15888086407156277</v>
      </c>
      <c r="AA13" s="8">
        <f t="shared" si="4"/>
        <v>0.16667515664000815</v>
      </c>
      <c r="AB13" s="8">
        <f t="shared" si="4"/>
        <v>0.17361830537470893</v>
      </c>
      <c r="AC13" s="8">
        <f t="shared" si="4"/>
        <v>0.15988970910669939</v>
      </c>
      <c r="AD13" s="8">
        <f t="shared" si="4"/>
        <v>0.15829185351119449</v>
      </c>
      <c r="AE13" s="8">
        <f t="shared" si="4"/>
        <v>0.14095588371190418</v>
      </c>
      <c r="AF13" s="8">
        <f t="shared" si="4"/>
        <v>0.14340409292903356</v>
      </c>
      <c r="AG13" s="8">
        <f t="shared" si="4"/>
        <v>0.13023131712675404</v>
      </c>
      <c r="AH13" s="8">
        <f t="shared" si="4"/>
        <v>0.12531444612738257</v>
      </c>
      <c r="AI13" s="8">
        <f t="shared" si="4"/>
        <v>0.12504658749665473</v>
      </c>
      <c r="AJ13" s="8">
        <f t="shared" si="4"/>
        <v>0.12545534898986452</v>
      </c>
      <c r="AK13" s="8">
        <f t="shared" si="4"/>
        <v>0.13129013941102757</v>
      </c>
      <c r="AL13" s="8">
        <f t="shared" si="4"/>
        <v>0.13836755601160172</v>
      </c>
      <c r="AM13" s="8">
        <f t="shared" si="4"/>
        <v>0.14763143972667986</v>
      </c>
      <c r="AN13" s="8">
        <f t="shared" si="4"/>
        <v>0.15010015044057598</v>
      </c>
      <c r="AO13" s="8">
        <f t="shared" si="4"/>
        <v>0.17025768948862693</v>
      </c>
      <c r="AP13" s="8">
        <f t="shared" si="4"/>
        <v>0.18600400012266136</v>
      </c>
      <c r="AQ13" s="8">
        <f t="shared" si="4"/>
        <v>0.19442105375358409</v>
      </c>
      <c r="AR13" s="8" t="e">
        <f t="shared" si="4"/>
        <v>#DIV/0!</v>
      </c>
      <c r="AS13" s="8" t="e">
        <f t="shared" si="4"/>
        <v>#DIV/0!</v>
      </c>
    </row>
    <row r="15" spans="1:45" x14ac:dyDescent="0.2">
      <c r="A15" s="19" t="s">
        <v>52</v>
      </c>
      <c r="B15" s="4"/>
    </row>
    <row r="16" spans="1:45" s="5" customFormat="1" x14ac:dyDescent="0.2">
      <c r="A16" s="23" t="s">
        <v>53</v>
      </c>
      <c r="B16" s="4">
        <f>SUM(V16,W16,X16,Y16)</f>
        <v>1231230</v>
      </c>
      <c r="C16" s="4">
        <f>SUM(Z16:AC16)</f>
        <v>1102475</v>
      </c>
      <c r="D16" s="4">
        <f t="shared" ref="D16:D18" si="5">SUM(AD16:AG16)</f>
        <v>1292170</v>
      </c>
      <c r="E16" s="4">
        <f t="shared" ref="E16:E18" si="6">SUM(AH16:AK16)</f>
        <v>1429942</v>
      </c>
      <c r="F16" s="4">
        <f t="shared" ref="F16:F18" si="7">SUM(AL16:AO16)</f>
        <v>1292329</v>
      </c>
      <c r="V16" s="6">
        <v>307691</v>
      </c>
      <c r="W16" s="6">
        <v>295064</v>
      </c>
      <c r="X16" s="6">
        <v>306168</v>
      </c>
      <c r="Y16" s="6">
        <v>322307</v>
      </c>
      <c r="Z16" s="6">
        <v>294820</v>
      </c>
      <c r="AA16" s="6">
        <v>265278</v>
      </c>
      <c r="AB16" s="6">
        <v>258541</v>
      </c>
      <c r="AC16" s="6">
        <v>283836</v>
      </c>
      <c r="AD16" s="6">
        <v>297343</v>
      </c>
      <c r="AE16" s="6">
        <v>322288</v>
      </c>
      <c r="AF16" s="6">
        <v>332035</v>
      </c>
      <c r="AG16" s="6">
        <v>340504</v>
      </c>
      <c r="AH16" s="6">
        <v>356707</v>
      </c>
      <c r="AI16" s="6">
        <v>356747</v>
      </c>
      <c r="AJ16" s="6">
        <v>362579</v>
      </c>
      <c r="AK16" s="6">
        <v>353909</v>
      </c>
      <c r="AL16" s="6">
        <v>346442</v>
      </c>
      <c r="AM16" s="6">
        <v>337394</v>
      </c>
      <c r="AN16" s="6">
        <v>319238</v>
      </c>
      <c r="AO16" s="6">
        <v>289255</v>
      </c>
      <c r="AP16" s="6">
        <v>300209</v>
      </c>
      <c r="AQ16" s="6">
        <v>280692</v>
      </c>
    </row>
    <row r="17" spans="1:45" s="5" customFormat="1" x14ac:dyDescent="0.2">
      <c r="A17" s="23" t="s">
        <v>54</v>
      </c>
      <c r="B17" s="4">
        <f>SUM(V17,W17,X17,Y17)</f>
        <v>177173</v>
      </c>
      <c r="C17" s="4">
        <f>SUM(Z17:AC17)</f>
        <v>170900</v>
      </c>
      <c r="D17" s="4">
        <f t="shared" si="5"/>
        <v>167555</v>
      </c>
      <c r="E17" s="4">
        <f t="shared" si="6"/>
        <v>171578</v>
      </c>
      <c r="F17" s="4">
        <f t="shared" si="7"/>
        <v>182747</v>
      </c>
      <c r="V17" s="6">
        <v>44839</v>
      </c>
      <c r="W17" s="6">
        <v>44473</v>
      </c>
      <c r="X17" s="6">
        <v>45818</v>
      </c>
      <c r="Y17" s="6">
        <v>42043</v>
      </c>
      <c r="Z17" s="6">
        <v>45287</v>
      </c>
      <c r="AA17" s="6">
        <v>40499</v>
      </c>
      <c r="AB17" s="6">
        <v>42257</v>
      </c>
      <c r="AC17" s="6">
        <v>42857</v>
      </c>
      <c r="AD17" s="6">
        <v>40907</v>
      </c>
      <c r="AE17" s="6">
        <v>44835</v>
      </c>
      <c r="AF17" s="6">
        <v>41534</v>
      </c>
      <c r="AG17" s="6">
        <v>40279</v>
      </c>
      <c r="AH17" s="6">
        <v>41356</v>
      </c>
      <c r="AI17" s="6">
        <v>41862</v>
      </c>
      <c r="AJ17" s="6">
        <v>43285</v>
      </c>
      <c r="AK17" s="6">
        <v>45075</v>
      </c>
      <c r="AL17" s="6">
        <v>43490</v>
      </c>
      <c r="AM17" s="6">
        <v>45749</v>
      </c>
      <c r="AN17" s="6">
        <v>42842</v>
      </c>
      <c r="AO17" s="6">
        <v>50666</v>
      </c>
      <c r="AP17" s="6">
        <v>50454</v>
      </c>
      <c r="AQ17" s="6">
        <v>51570</v>
      </c>
    </row>
    <row r="18" spans="1:45" x14ac:dyDescent="0.2">
      <c r="A18" s="21" t="s">
        <v>55</v>
      </c>
      <c r="B18" s="7">
        <f>SUM(V18,W18,X18,Y18)</f>
        <v>1408403</v>
      </c>
      <c r="C18" s="7">
        <f>SUM(Z18:AC18)</f>
        <v>1273375</v>
      </c>
      <c r="D18" s="7">
        <f t="shared" si="5"/>
        <v>1459725</v>
      </c>
      <c r="E18" s="7">
        <f t="shared" si="6"/>
        <v>1601520</v>
      </c>
      <c r="F18" s="7">
        <f t="shared" si="7"/>
        <v>1475076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7">
        <f>SUM(V16:V17)</f>
        <v>352530</v>
      </c>
      <c r="W18" s="7">
        <f>SUM(W16:W17)</f>
        <v>339537</v>
      </c>
      <c r="X18" s="7">
        <f t="shared" ref="X18:AS18" si="8">SUM(X16:X17)</f>
        <v>351986</v>
      </c>
      <c r="Y18" s="7">
        <f t="shared" si="8"/>
        <v>364350</v>
      </c>
      <c r="Z18" s="7">
        <f t="shared" si="8"/>
        <v>340107</v>
      </c>
      <c r="AA18" s="7">
        <f t="shared" si="8"/>
        <v>305777</v>
      </c>
      <c r="AB18" s="7">
        <f t="shared" si="8"/>
        <v>300798</v>
      </c>
      <c r="AC18" s="7">
        <f t="shared" si="8"/>
        <v>326693</v>
      </c>
      <c r="AD18" s="7">
        <f t="shared" si="8"/>
        <v>338250</v>
      </c>
      <c r="AE18" s="7">
        <f t="shared" si="8"/>
        <v>367123</v>
      </c>
      <c r="AF18" s="7">
        <f t="shared" si="8"/>
        <v>373569</v>
      </c>
      <c r="AG18" s="7">
        <f t="shared" si="8"/>
        <v>380783</v>
      </c>
      <c r="AH18" s="7">
        <f t="shared" si="8"/>
        <v>398063</v>
      </c>
      <c r="AI18" s="7">
        <f t="shared" si="8"/>
        <v>398609</v>
      </c>
      <c r="AJ18" s="7">
        <f t="shared" si="8"/>
        <v>405864</v>
      </c>
      <c r="AK18" s="7">
        <f t="shared" si="8"/>
        <v>398984</v>
      </c>
      <c r="AL18" s="7">
        <f t="shared" si="8"/>
        <v>389932</v>
      </c>
      <c r="AM18" s="7">
        <f t="shared" si="8"/>
        <v>383143</v>
      </c>
      <c r="AN18" s="7">
        <f t="shared" si="8"/>
        <v>362080</v>
      </c>
      <c r="AO18" s="7">
        <f t="shared" si="8"/>
        <v>339921</v>
      </c>
      <c r="AP18" s="7">
        <f t="shared" si="8"/>
        <v>350663</v>
      </c>
      <c r="AQ18" s="7">
        <f t="shared" si="8"/>
        <v>332262</v>
      </c>
      <c r="AR18" s="7">
        <f t="shared" si="8"/>
        <v>0</v>
      </c>
      <c r="AS18" s="7">
        <f t="shared" si="8"/>
        <v>0</v>
      </c>
    </row>
    <row r="20" spans="1:45" x14ac:dyDescent="0.2">
      <c r="A20" s="21" t="s">
        <v>56</v>
      </c>
      <c r="B20" s="7">
        <f>SUM(V20,W20,X20,Y20)</f>
        <v>573169</v>
      </c>
      <c r="C20" s="7">
        <f>SUM(Z20:AC20)</f>
        <v>522189</v>
      </c>
      <c r="D20" s="7">
        <f>SUM(AD20:AG20)</f>
        <v>713908</v>
      </c>
      <c r="E20" s="7">
        <f>SUM(AH20:AK20)</f>
        <v>839317</v>
      </c>
      <c r="F20" s="7">
        <f>SUM(AL20:AO20)</f>
        <v>892118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7">
        <f>V10-V18</f>
        <v>167044</v>
      </c>
      <c r="W20" s="7">
        <f>W10-W18</f>
        <v>149875</v>
      </c>
      <c r="X20" s="7">
        <f t="shared" ref="X20:AS20" si="9">X10-X18</f>
        <v>134963</v>
      </c>
      <c r="Y20" s="7">
        <f t="shared" si="9"/>
        <v>121287</v>
      </c>
      <c r="Z20" s="7">
        <f t="shared" si="9"/>
        <v>135224</v>
      </c>
      <c r="AA20" s="7">
        <f t="shared" si="9"/>
        <v>126105</v>
      </c>
      <c r="AB20" s="7">
        <f t="shared" si="9"/>
        <v>120062</v>
      </c>
      <c r="AC20" s="7">
        <f t="shared" si="9"/>
        <v>140798</v>
      </c>
      <c r="AD20" s="7">
        <f t="shared" si="9"/>
        <v>156368</v>
      </c>
      <c r="AE20" s="7">
        <f t="shared" si="9"/>
        <v>173947</v>
      </c>
      <c r="AF20" s="7">
        <f t="shared" si="9"/>
        <v>187203</v>
      </c>
      <c r="AG20" s="7">
        <f t="shared" si="9"/>
        <v>196390</v>
      </c>
      <c r="AH20" s="7">
        <f t="shared" si="9"/>
        <v>205379</v>
      </c>
      <c r="AI20" s="7">
        <f t="shared" si="9"/>
        <v>210460</v>
      </c>
      <c r="AJ20" s="7">
        <f t="shared" si="9"/>
        <v>209598</v>
      </c>
      <c r="AK20" s="7">
        <f t="shared" si="9"/>
        <v>213880</v>
      </c>
      <c r="AL20" s="7">
        <f t="shared" si="9"/>
        <v>217219</v>
      </c>
      <c r="AM20" s="7">
        <f t="shared" si="9"/>
        <v>223618</v>
      </c>
      <c r="AN20" s="7">
        <f t="shared" si="9"/>
        <v>219545</v>
      </c>
      <c r="AO20" s="7">
        <f t="shared" si="9"/>
        <v>231736</v>
      </c>
      <c r="AP20" s="7">
        <f t="shared" si="9"/>
        <v>236319</v>
      </c>
      <c r="AQ20" s="7">
        <f t="shared" si="9"/>
        <v>230640</v>
      </c>
      <c r="AR20" s="7">
        <f t="shared" si="9"/>
        <v>0</v>
      </c>
      <c r="AS20" s="7">
        <f t="shared" si="9"/>
        <v>0</v>
      </c>
    </row>
    <row r="21" spans="1:45" x14ac:dyDescent="0.2">
      <c r="A21" s="22" t="s">
        <v>57</v>
      </c>
      <c r="B21" s="8">
        <f>B20/B10</f>
        <v>0.28924964624045957</v>
      </c>
      <c r="C21" s="8">
        <f>C20/C10</f>
        <v>0.29082171395728584</v>
      </c>
      <c r="D21" s="8">
        <f>D20/D10</f>
        <v>0.32843998963946536</v>
      </c>
      <c r="E21" s="8">
        <f>E20/E10</f>
        <v>0.34386442027878139</v>
      </c>
      <c r="F21" s="8">
        <f>F20/F10</f>
        <v>0.37686729520267453</v>
      </c>
      <c r="V21" s="8">
        <f>V20/V10</f>
        <v>0.32150184574285856</v>
      </c>
      <c r="W21" s="8">
        <f>W20/W10</f>
        <v>0.30623482873325542</v>
      </c>
      <c r="X21" s="8">
        <f t="shared" ref="X21:AS21" si="10">X20/X10</f>
        <v>0.27716044185325361</v>
      </c>
      <c r="Y21" s="8">
        <f t="shared" si="10"/>
        <v>0.2497482687686482</v>
      </c>
      <c r="Z21" s="8">
        <f t="shared" si="10"/>
        <v>0.28448386492780819</v>
      </c>
      <c r="AA21" s="8">
        <f t="shared" si="10"/>
        <v>0.29198947860758262</v>
      </c>
      <c r="AB21" s="8">
        <f t="shared" si="10"/>
        <v>0.28527776457729409</v>
      </c>
      <c r="AC21" s="8">
        <f t="shared" si="10"/>
        <v>0.30117799059233225</v>
      </c>
      <c r="AD21" s="8">
        <f t="shared" si="10"/>
        <v>0.31613891932764276</v>
      </c>
      <c r="AE21" s="8">
        <f t="shared" si="10"/>
        <v>0.32148705343116418</v>
      </c>
      <c r="AF21" s="8">
        <f t="shared" si="10"/>
        <v>0.33383086174060045</v>
      </c>
      <c r="AG21" s="8">
        <f t="shared" si="10"/>
        <v>0.34026193186444964</v>
      </c>
      <c r="AH21" s="8">
        <f t="shared" si="10"/>
        <v>0.3403458824543204</v>
      </c>
      <c r="AI21" s="8">
        <f t="shared" si="10"/>
        <v>0.34554377254465424</v>
      </c>
      <c r="AJ21" s="8">
        <f t="shared" si="10"/>
        <v>0.34055392534388801</v>
      </c>
      <c r="AK21" s="8">
        <f t="shared" si="10"/>
        <v>0.34898444026733499</v>
      </c>
      <c r="AL21" s="8">
        <f t="shared" si="10"/>
        <v>0.35776767229239514</v>
      </c>
      <c r="AM21" s="8">
        <f t="shared" si="10"/>
        <v>0.36854379236635182</v>
      </c>
      <c r="AN21" s="8">
        <f t="shared" si="10"/>
        <v>0.37746830002149151</v>
      </c>
      <c r="AO21" s="8">
        <f t="shared" si="10"/>
        <v>0.40537595096360229</v>
      </c>
      <c r="AP21" s="8">
        <f t="shared" si="10"/>
        <v>0.40260007972987244</v>
      </c>
      <c r="AQ21" s="8">
        <f t="shared" si="10"/>
        <v>0.40973384354647879</v>
      </c>
      <c r="AR21" s="8" t="e">
        <f t="shared" si="10"/>
        <v>#DIV/0!</v>
      </c>
      <c r="AS21" s="8" t="e">
        <f t="shared" si="10"/>
        <v>#DIV/0!</v>
      </c>
    </row>
    <row r="22" spans="1:45" x14ac:dyDescent="0.2">
      <c r="A22" s="22" t="s">
        <v>271</v>
      </c>
      <c r="B22" s="30">
        <f t="shared" ref="B22:F23" si="11">(B8-B16)/B8</f>
        <v>0.26633674870917862</v>
      </c>
      <c r="C22" s="30">
        <f t="shared" si="11"/>
        <v>0.26513571468088837</v>
      </c>
      <c r="D22" s="30">
        <f t="shared" si="11"/>
        <v>0.30658565733417265</v>
      </c>
      <c r="E22" s="30">
        <f t="shared" si="11"/>
        <v>0.32910008027666593</v>
      </c>
      <c r="F22" s="30">
        <f t="shared" si="11"/>
        <v>0.35672252928855297</v>
      </c>
      <c r="V22" s="30">
        <f t="shared" ref="V22:AS22" si="12">(V8-V16)/V8</f>
        <v>0.30513048662613707</v>
      </c>
      <c r="W22" s="30">
        <f t="shared" si="12"/>
        <v>0.28333645034598842</v>
      </c>
      <c r="X22" s="30">
        <f t="shared" si="12"/>
        <v>0.25496961895329567</v>
      </c>
      <c r="Y22" s="30">
        <f t="shared" si="12"/>
        <v>0.2190756557029499</v>
      </c>
      <c r="Z22" s="30">
        <f t="shared" si="12"/>
        <v>0.26259973487406518</v>
      </c>
      <c r="AA22" s="30">
        <f t="shared" si="12"/>
        <v>0.26290782388343364</v>
      </c>
      <c r="AB22" s="30">
        <f t="shared" si="12"/>
        <v>0.25661963650583253</v>
      </c>
      <c r="AC22" s="30">
        <f t="shared" si="12"/>
        <v>0.27730022610148086</v>
      </c>
      <c r="AD22" s="30">
        <f t="shared" si="12"/>
        <v>0.28578943322988826</v>
      </c>
      <c r="AE22" s="30">
        <f t="shared" si="12"/>
        <v>0.30661376970458454</v>
      </c>
      <c r="AF22" s="30">
        <f t="shared" si="12"/>
        <v>0.3087716376429932</v>
      </c>
      <c r="AG22" s="30">
        <f t="shared" si="12"/>
        <v>0.3217146374452946</v>
      </c>
      <c r="AH22" s="30">
        <f t="shared" si="12"/>
        <v>0.32419073096612117</v>
      </c>
      <c r="AI22" s="30">
        <f t="shared" si="12"/>
        <v>0.33056424479318153</v>
      </c>
      <c r="AJ22" s="30">
        <f t="shared" si="12"/>
        <v>0.32637310984321383</v>
      </c>
      <c r="AK22" s="30">
        <f t="shared" si="12"/>
        <v>0.33525857389448932</v>
      </c>
      <c r="AL22" s="30">
        <f t="shared" si="12"/>
        <v>0.33776553548660876</v>
      </c>
      <c r="AM22" s="30">
        <f t="shared" si="12"/>
        <v>0.34763256403910409</v>
      </c>
      <c r="AN22" s="30">
        <f t="shared" si="12"/>
        <v>0.35419149017949803</v>
      </c>
      <c r="AO22" s="30">
        <f t="shared" si="12"/>
        <v>0.39017936955018467</v>
      </c>
      <c r="AP22" s="30">
        <f t="shared" si="12"/>
        <v>0.37168612037228888</v>
      </c>
      <c r="AQ22" s="30">
        <f t="shared" si="12"/>
        <v>0.3810021567408074</v>
      </c>
      <c r="AR22" s="30" t="e">
        <f t="shared" si="12"/>
        <v>#DIV/0!</v>
      </c>
      <c r="AS22" s="30" t="e">
        <f t="shared" si="12"/>
        <v>#DIV/0!</v>
      </c>
    </row>
    <row r="23" spans="1:45" x14ac:dyDescent="0.2">
      <c r="A23" s="22" t="s">
        <v>272</v>
      </c>
      <c r="B23" s="30">
        <f t="shared" si="11"/>
        <v>0.41599725753765115</v>
      </c>
      <c r="C23" s="30">
        <f t="shared" si="11"/>
        <v>0.421307661832379</v>
      </c>
      <c r="D23" s="30">
        <f t="shared" si="11"/>
        <v>0.45975095439537761</v>
      </c>
      <c r="E23" s="30">
        <f t="shared" si="11"/>
        <v>0.44555319300195828</v>
      </c>
      <c r="F23" s="30">
        <f t="shared" si="11"/>
        <v>0.48984417310129585</v>
      </c>
      <c r="V23" s="30">
        <f t="shared" ref="V23:AS23" si="13">(V9-V17)/V9</f>
        <v>0.41593070209717337</v>
      </c>
      <c r="W23" s="30">
        <f t="shared" si="13"/>
        <v>0.4275803482939261</v>
      </c>
      <c r="X23" s="30">
        <f t="shared" si="13"/>
        <v>0.39714744348832925</v>
      </c>
      <c r="Y23" s="30">
        <f t="shared" si="13"/>
        <v>0.42337338161070881</v>
      </c>
      <c r="Z23" s="30">
        <f t="shared" si="13"/>
        <v>0.4003389785622542</v>
      </c>
      <c r="AA23" s="30">
        <f t="shared" si="13"/>
        <v>0.4373888641920427</v>
      </c>
      <c r="AB23" s="30">
        <f t="shared" si="13"/>
        <v>0.4216836141181623</v>
      </c>
      <c r="AC23" s="30">
        <f t="shared" si="13"/>
        <v>0.42663919622192192</v>
      </c>
      <c r="AD23" s="30">
        <f t="shared" si="13"/>
        <v>0.47752062737885409</v>
      </c>
      <c r="AE23" s="30">
        <f t="shared" si="13"/>
        <v>0.41213106586072612</v>
      </c>
      <c r="AF23" s="30">
        <f t="shared" si="13"/>
        <v>0.48351716676822065</v>
      </c>
      <c r="AG23" s="30">
        <f t="shared" si="13"/>
        <v>0.46413271958066149</v>
      </c>
      <c r="AH23" s="30">
        <f t="shared" si="13"/>
        <v>0.45310764348056071</v>
      </c>
      <c r="AI23" s="30">
        <f t="shared" si="13"/>
        <v>0.45035582048790734</v>
      </c>
      <c r="AJ23" s="30">
        <f t="shared" si="13"/>
        <v>0.43940787173144419</v>
      </c>
      <c r="AK23" s="30">
        <f t="shared" si="13"/>
        <v>0.43980463069982478</v>
      </c>
      <c r="AL23" s="30">
        <f t="shared" si="13"/>
        <v>0.48232353291274849</v>
      </c>
      <c r="AM23" s="30">
        <f t="shared" si="13"/>
        <v>0.48927738147069</v>
      </c>
      <c r="AN23" s="30">
        <f t="shared" si="13"/>
        <v>0.50926668346658721</v>
      </c>
      <c r="AO23" s="30">
        <f t="shared" si="13"/>
        <v>0.47943572830297237</v>
      </c>
      <c r="AP23" s="30">
        <f t="shared" si="13"/>
        <v>0.53788662862585979</v>
      </c>
      <c r="AQ23" s="30">
        <f t="shared" si="13"/>
        <v>0.52878289473684215</v>
      </c>
      <c r="AR23" s="30" t="e">
        <f t="shared" si="13"/>
        <v>#DIV/0!</v>
      </c>
      <c r="AS23" s="30" t="e">
        <f t="shared" si="13"/>
        <v>#DIV/0!</v>
      </c>
    </row>
    <row r="25" spans="1:45" x14ac:dyDescent="0.2">
      <c r="A25" s="19" t="s">
        <v>58</v>
      </c>
    </row>
    <row r="26" spans="1:45" s="5" customFormat="1" x14ac:dyDescent="0.2">
      <c r="A26" s="23" t="s">
        <v>59</v>
      </c>
      <c r="B26" s="4">
        <f>SUM(V26,W26,X26,Y26)</f>
        <v>300520</v>
      </c>
      <c r="C26" s="4">
        <f>SUM(Z26:AC26)</f>
        <v>290453</v>
      </c>
      <c r="D26" s="4">
        <f>SUM(AD26:AG26)</f>
        <v>312779</v>
      </c>
      <c r="E26" s="4">
        <f>SUM(AH26:AK26)</f>
        <v>339069</v>
      </c>
      <c r="F26" s="4">
        <f>SUM(AL26:AO26)</f>
        <v>352965</v>
      </c>
      <c r="V26" s="6">
        <v>75992</v>
      </c>
      <c r="W26" s="6">
        <v>74144</v>
      </c>
      <c r="X26" s="6">
        <v>71838</v>
      </c>
      <c r="Y26" s="6">
        <v>78546</v>
      </c>
      <c r="Z26" s="6">
        <v>76401</v>
      </c>
      <c r="AA26" s="6">
        <v>72877</v>
      </c>
      <c r="AB26" s="6">
        <v>63446</v>
      </c>
      <c r="AC26" s="6">
        <v>77729</v>
      </c>
      <c r="AD26" s="6">
        <v>75521</v>
      </c>
      <c r="AE26" s="6">
        <v>79079</v>
      </c>
      <c r="AF26" s="6">
        <v>76576</v>
      </c>
      <c r="AG26" s="6">
        <v>81603</v>
      </c>
      <c r="AH26" s="6">
        <v>85971</v>
      </c>
      <c r="AI26" s="6">
        <v>88413</v>
      </c>
      <c r="AJ26" s="6">
        <v>79639</v>
      </c>
      <c r="AK26" s="6">
        <v>85046</v>
      </c>
      <c r="AL26" s="6">
        <v>86911</v>
      </c>
      <c r="AM26" s="6">
        <v>87615</v>
      </c>
      <c r="AN26" s="6">
        <v>83139</v>
      </c>
      <c r="AO26" s="6">
        <v>95300</v>
      </c>
      <c r="AP26" s="6">
        <v>105357</v>
      </c>
      <c r="AQ26" s="6">
        <v>89722</v>
      </c>
    </row>
    <row r="27" spans="1:45" x14ac:dyDescent="0.2">
      <c r="A27" s="22" t="s">
        <v>60</v>
      </c>
      <c r="B27" s="8">
        <f>B26/B10</f>
        <v>0.15165737101654647</v>
      </c>
      <c r="C27" s="8">
        <f>C26/C10</f>
        <v>0.16176142983485969</v>
      </c>
      <c r="D27" s="8">
        <f>D26/D10</f>
        <v>0.14389687679566882</v>
      </c>
      <c r="E27" s="8">
        <f>E26/E10</f>
        <v>0.13891505250043326</v>
      </c>
      <c r="F27" s="8">
        <f>F26/F10</f>
        <v>0.14910691730377823</v>
      </c>
      <c r="V27" s="8">
        <f>V26/V10</f>
        <v>0.14625828082236603</v>
      </c>
      <c r="W27" s="8">
        <f>W26/W10</f>
        <v>0.1514960810114995</v>
      </c>
      <c r="X27" s="8">
        <f t="shared" ref="X27:AS27" si="14">X26/X10</f>
        <v>0.14752674304701313</v>
      </c>
      <c r="Y27" s="8">
        <f t="shared" si="14"/>
        <v>0.16173808832523057</v>
      </c>
      <c r="Z27" s="8">
        <f t="shared" si="14"/>
        <v>0.16073220555781129</v>
      </c>
      <c r="AA27" s="8">
        <f t="shared" si="14"/>
        <v>0.16874285105653858</v>
      </c>
      <c r="AB27" s="8">
        <f t="shared" si="14"/>
        <v>0.15075321959796606</v>
      </c>
      <c r="AC27" s="8">
        <f t="shared" si="14"/>
        <v>0.16626844153149473</v>
      </c>
      <c r="AD27" s="8">
        <f t="shared" si="14"/>
        <v>0.15268550679514292</v>
      </c>
      <c r="AE27" s="8">
        <f t="shared" si="14"/>
        <v>0.14615299314321623</v>
      </c>
      <c r="AF27" s="8">
        <f t="shared" si="14"/>
        <v>0.13655460686339546</v>
      </c>
      <c r="AG27" s="8">
        <f t="shared" si="14"/>
        <v>0.14138395247178923</v>
      </c>
      <c r="AH27" s="8">
        <f t="shared" si="14"/>
        <v>0.14246771023561502</v>
      </c>
      <c r="AI27" s="8">
        <f t="shared" si="14"/>
        <v>0.14516089310078167</v>
      </c>
      <c r="AJ27" s="8">
        <f t="shared" si="14"/>
        <v>0.12939710331425824</v>
      </c>
      <c r="AK27" s="8">
        <f t="shared" si="14"/>
        <v>0.13876814431913115</v>
      </c>
      <c r="AL27" s="8">
        <f t="shared" si="14"/>
        <v>0.14314560957653039</v>
      </c>
      <c r="AM27" s="8">
        <f t="shared" si="14"/>
        <v>0.14439787659391423</v>
      </c>
      <c r="AN27" s="8">
        <f t="shared" si="14"/>
        <v>0.14294261766602193</v>
      </c>
      <c r="AO27" s="8">
        <f t="shared" si="14"/>
        <v>0.16670835833375608</v>
      </c>
      <c r="AP27" s="8">
        <f t="shared" si="14"/>
        <v>0.17948931994507497</v>
      </c>
      <c r="AQ27" s="8">
        <f t="shared" si="14"/>
        <v>0.15939186572440672</v>
      </c>
      <c r="AR27" s="8" t="e">
        <f t="shared" si="14"/>
        <v>#DIV/0!</v>
      </c>
      <c r="AS27" s="8" t="e">
        <f t="shared" si="14"/>
        <v>#DIV/0!</v>
      </c>
    </row>
    <row r="28" spans="1:45" s="5" customFormat="1" x14ac:dyDescent="0.2">
      <c r="A28" s="23" t="s">
        <v>61</v>
      </c>
      <c r="B28" s="4">
        <f>SUM(V28,W28,X28,Y28)</f>
        <v>197235</v>
      </c>
      <c r="C28" s="4">
        <f>SUM(Z28:AC28)</f>
        <v>185098</v>
      </c>
      <c r="D28" s="4">
        <f>SUM(AD28:AG28)</f>
        <v>208688</v>
      </c>
      <c r="E28" s="4">
        <f>SUM(AH28:AK28)</f>
        <v>215034</v>
      </c>
      <c r="F28" s="4">
        <f>SUM(AL28:AO28)</f>
        <v>207041</v>
      </c>
      <c r="V28" s="6">
        <v>51727</v>
      </c>
      <c r="W28" s="6">
        <v>48763</v>
      </c>
      <c r="X28" s="6">
        <v>46889</v>
      </c>
      <c r="Y28" s="6">
        <v>49856</v>
      </c>
      <c r="Z28" s="6">
        <v>49596</v>
      </c>
      <c r="AA28" s="6">
        <v>45055</v>
      </c>
      <c r="AB28" s="6">
        <v>43820</v>
      </c>
      <c r="AC28" s="6">
        <v>46627</v>
      </c>
      <c r="AD28" s="6">
        <v>49565</v>
      </c>
      <c r="AE28" s="6">
        <v>53560</v>
      </c>
      <c r="AF28" s="6">
        <v>51644</v>
      </c>
      <c r="AG28" s="6">
        <v>53919</v>
      </c>
      <c r="AH28" s="6">
        <v>52401</v>
      </c>
      <c r="AI28" s="6">
        <v>53053</v>
      </c>
      <c r="AJ28" s="6">
        <v>51237</v>
      </c>
      <c r="AK28" s="6">
        <v>58343</v>
      </c>
      <c r="AL28" s="6">
        <v>50090</v>
      </c>
      <c r="AM28" s="6">
        <v>53810</v>
      </c>
      <c r="AN28" s="6">
        <v>50032</v>
      </c>
      <c r="AO28" s="6">
        <v>53109</v>
      </c>
      <c r="AP28" s="6">
        <v>54999</v>
      </c>
      <c r="AQ28" s="6">
        <v>56141</v>
      </c>
    </row>
    <row r="29" spans="1:45" x14ac:dyDescent="0.2">
      <c r="A29" s="22" t="s">
        <v>60</v>
      </c>
      <c r="B29" s="8">
        <f>B28/B10</f>
        <v>9.9534611914177229E-2</v>
      </c>
      <c r="C29" s="8">
        <f>C28/C10</f>
        <v>0.10308627261406444</v>
      </c>
      <c r="D29" s="8">
        <f>D28/D10</f>
        <v>9.6008847859781296E-2</v>
      </c>
      <c r="E29" s="8">
        <f>E28/E10</f>
        <v>8.809846786163926E-2</v>
      </c>
      <c r="F29" s="8">
        <f>F28/F10</f>
        <v>8.7462624525070615E-2</v>
      </c>
      <c r="V29" s="8">
        <f>V28/V10</f>
        <v>9.9556559797064514E-2</v>
      </c>
      <c r="W29" s="8">
        <f>W28/W10</f>
        <v>9.9635889598129995E-2</v>
      </c>
      <c r="X29" s="8">
        <f t="shared" ref="X29:AS29" si="15">X28/X10</f>
        <v>9.6291398072488085E-2</v>
      </c>
      <c r="Y29" s="8">
        <f t="shared" si="15"/>
        <v>0.10266104106565192</v>
      </c>
      <c r="Z29" s="8">
        <f t="shared" si="15"/>
        <v>0.10433992312725238</v>
      </c>
      <c r="AA29" s="8">
        <f t="shared" si="15"/>
        <v>0.10432247697287685</v>
      </c>
      <c r="AB29" s="8">
        <f t="shared" si="15"/>
        <v>0.10412013496174499</v>
      </c>
      <c r="AC29" s="8">
        <f t="shared" si="15"/>
        <v>9.9738818501318743E-2</v>
      </c>
      <c r="AD29" s="8">
        <f t="shared" si="15"/>
        <v>0.10020864586408097</v>
      </c>
      <c r="AE29" s="8">
        <f t="shared" si="15"/>
        <v>9.8989040235089726E-2</v>
      </c>
      <c r="AF29" s="8">
        <f t="shared" si="15"/>
        <v>9.2094469766678788E-2</v>
      </c>
      <c r="AG29" s="8">
        <f t="shared" si="15"/>
        <v>9.3419130832523345E-2</v>
      </c>
      <c r="AH29" s="8">
        <f t="shared" si="15"/>
        <v>8.6836845960340844E-2</v>
      </c>
      <c r="AI29" s="8">
        <f t="shared" si="15"/>
        <v>8.7105073481001327E-2</v>
      </c>
      <c r="AJ29" s="8">
        <f t="shared" si="15"/>
        <v>8.324965635571327E-2</v>
      </c>
      <c r="AK29" s="8">
        <f t="shared" si="15"/>
        <v>9.5197303153717633E-2</v>
      </c>
      <c r="AL29" s="8">
        <f t="shared" si="15"/>
        <v>8.250006999906119E-2</v>
      </c>
      <c r="AM29" s="8">
        <f t="shared" si="15"/>
        <v>8.8684012321161049E-2</v>
      </c>
      <c r="AN29" s="8">
        <f t="shared" si="15"/>
        <v>8.6021061680636154E-2</v>
      </c>
      <c r="AO29" s="8">
        <f t="shared" si="15"/>
        <v>9.290361178119047E-2</v>
      </c>
      <c r="AP29" s="8">
        <f t="shared" si="15"/>
        <v>9.369793281565704E-2</v>
      </c>
      <c r="AQ29" s="8">
        <f t="shared" si="15"/>
        <v>9.9734944981542076E-2</v>
      </c>
      <c r="AR29" s="8" t="e">
        <f t="shared" si="15"/>
        <v>#DIV/0!</v>
      </c>
      <c r="AS29" s="8" t="e">
        <f t="shared" si="15"/>
        <v>#DIV/0!</v>
      </c>
    </row>
    <row r="30" spans="1:45" x14ac:dyDescent="0.2">
      <c r="A30" s="22" t="s">
        <v>269</v>
      </c>
      <c r="B30" s="8">
        <f>B28/B9</f>
        <v>0.65013168433994661</v>
      </c>
      <c r="C30" s="8">
        <f>C28/C9</f>
        <v>0.62676883797630378</v>
      </c>
      <c r="D30" s="8">
        <f>D28/D9</f>
        <v>0.67287453569954603</v>
      </c>
      <c r="E30" s="8">
        <f>E28/E9</f>
        <v>0.69487297145331517</v>
      </c>
      <c r="F30" s="8">
        <f>F28/F9</f>
        <v>0.5779748644680055</v>
      </c>
      <c r="V30" s="8">
        <f t="shared" ref="V30:AQ30" si="16">V28/V9</f>
        <v>0.67379184577308848</v>
      </c>
      <c r="W30" s="8">
        <f t="shared" si="16"/>
        <v>0.62763698145264057</v>
      </c>
      <c r="X30" s="8">
        <f t="shared" si="16"/>
        <v>0.61694429093971215</v>
      </c>
      <c r="Y30" s="8">
        <f t="shared" si="16"/>
        <v>0.68378319069563309</v>
      </c>
      <c r="Z30" s="8">
        <f t="shared" si="16"/>
        <v>0.65671799896717464</v>
      </c>
      <c r="AA30" s="8">
        <f t="shared" si="16"/>
        <v>0.62590297843965326</v>
      </c>
      <c r="AB30" s="8">
        <f t="shared" si="16"/>
        <v>0.59970712614104471</v>
      </c>
      <c r="AC30" s="8">
        <f t="shared" si="16"/>
        <v>0.62379761060644578</v>
      </c>
      <c r="AD30" s="8">
        <f t="shared" si="16"/>
        <v>0.63306255907221498</v>
      </c>
      <c r="AE30" s="8">
        <f t="shared" si="16"/>
        <v>0.70226965791233431</v>
      </c>
      <c r="AF30" s="8">
        <f t="shared" si="16"/>
        <v>0.64220251936779538</v>
      </c>
      <c r="AG30" s="8">
        <f t="shared" si="16"/>
        <v>0.71733230449937468</v>
      </c>
      <c r="AH30" s="8">
        <f t="shared" si="16"/>
        <v>0.69295160010579215</v>
      </c>
      <c r="AI30" s="8">
        <f t="shared" si="16"/>
        <v>0.6965809721383367</v>
      </c>
      <c r="AJ30" s="8">
        <f t="shared" si="16"/>
        <v>0.66357996710398504</v>
      </c>
      <c r="AK30" s="8">
        <f t="shared" si="16"/>
        <v>0.72509103563128396</v>
      </c>
      <c r="AL30" s="8">
        <f t="shared" si="16"/>
        <v>0.59623854303059165</v>
      </c>
      <c r="AM30" s="8">
        <f t="shared" si="16"/>
        <v>0.60071223639996874</v>
      </c>
      <c r="AN30" s="8">
        <f t="shared" si="16"/>
        <v>0.5730911090238483</v>
      </c>
      <c r="AO30" s="8">
        <f t="shared" si="16"/>
        <v>0.54566470425053171</v>
      </c>
      <c r="AP30" s="8">
        <f t="shared" si="16"/>
        <v>0.50374149348329833</v>
      </c>
      <c r="AQ30" s="8">
        <f t="shared" si="16"/>
        <v>0.51298428362573101</v>
      </c>
      <c r="AR30" s="8"/>
      <c r="AS30" s="8"/>
    </row>
    <row r="31" spans="1:45" s="5" customFormat="1" x14ac:dyDescent="0.2">
      <c r="A31" s="23" t="s">
        <v>62</v>
      </c>
      <c r="B31" s="4">
        <f>SUM(V31,W31,X31,Y31)</f>
        <v>35801</v>
      </c>
      <c r="C31" s="4">
        <f>SUM(Z31:AC31)</f>
        <v>25717</v>
      </c>
      <c r="D31" s="4">
        <f t="shared" ref="D31:D33" si="17">SUM(AD31:AG31)</f>
        <v>18918</v>
      </c>
      <c r="E31" s="4">
        <f t="shared" ref="E31:E35" si="18">SUM(AH31:AK31)</f>
        <v>17828</v>
      </c>
      <c r="F31" s="4">
        <f t="shared" ref="F31:F35" si="19">SUM(AL31:AO31)</f>
        <v>18034</v>
      </c>
      <c r="V31" s="6">
        <v>8973</v>
      </c>
      <c r="W31" s="6">
        <v>8997</v>
      </c>
      <c r="X31" s="6">
        <v>8944</v>
      </c>
      <c r="Y31" s="6">
        <v>8887</v>
      </c>
      <c r="Z31" s="6">
        <v>6553</v>
      </c>
      <c r="AA31" s="6">
        <v>6485</v>
      </c>
      <c r="AB31" s="6">
        <v>6413</v>
      </c>
      <c r="AC31" s="6">
        <v>6266</v>
      </c>
      <c r="AD31" s="6">
        <v>5048</v>
      </c>
      <c r="AE31" s="6">
        <v>4722</v>
      </c>
      <c r="AF31" s="6">
        <v>4663</v>
      </c>
      <c r="AG31" s="6">
        <v>4485</v>
      </c>
      <c r="AH31" s="6">
        <v>3986</v>
      </c>
      <c r="AI31" s="6">
        <v>4511</v>
      </c>
      <c r="AJ31" s="6">
        <v>4814</v>
      </c>
      <c r="AK31" s="6">
        <v>4517</v>
      </c>
      <c r="AL31" s="6">
        <v>4479</v>
      </c>
      <c r="AM31" s="6">
        <v>4543</v>
      </c>
      <c r="AN31" s="6">
        <v>4403</v>
      </c>
      <c r="AO31" s="6">
        <v>4609</v>
      </c>
      <c r="AP31" s="6">
        <v>8172</v>
      </c>
      <c r="AQ31" s="6">
        <v>8478</v>
      </c>
    </row>
    <row r="32" spans="1:45" s="5" customFormat="1" x14ac:dyDescent="0.2">
      <c r="A32" s="23" t="s">
        <v>63</v>
      </c>
      <c r="B32" s="4">
        <f>SUM(V32,W32,X32,Y32)</f>
        <v>54623</v>
      </c>
      <c r="C32" s="4">
        <f>SUM(Z32:AC32)</f>
        <v>-13625</v>
      </c>
      <c r="D32" s="4">
        <f t="shared" si="17"/>
        <v>43989</v>
      </c>
      <c r="E32" s="4">
        <f t="shared" si="18"/>
        <v>2679</v>
      </c>
      <c r="F32" s="4">
        <f t="shared" si="19"/>
        <v>931</v>
      </c>
      <c r="V32" s="6">
        <v>-1980</v>
      </c>
      <c r="W32" s="5">
        <v>192</v>
      </c>
      <c r="X32" s="5">
        <v>958</v>
      </c>
      <c r="Y32" s="6">
        <v>55453</v>
      </c>
      <c r="Z32" s="6">
        <v>-6366</v>
      </c>
      <c r="AA32" s="6">
        <v>-3459</v>
      </c>
      <c r="AB32" s="6">
        <v>-1272</v>
      </c>
      <c r="AC32" s="6">
        <v>-2528</v>
      </c>
      <c r="AD32" s="6">
        <v>36609</v>
      </c>
      <c r="AE32" s="5">
        <v>874</v>
      </c>
      <c r="AF32" s="5">
        <v>-615</v>
      </c>
      <c r="AG32" s="6">
        <v>7121</v>
      </c>
      <c r="AH32" s="5">
        <v>198</v>
      </c>
      <c r="AI32" s="5">
        <v>-99</v>
      </c>
      <c r="AJ32" s="5">
        <v>-723</v>
      </c>
      <c r="AK32" s="6">
        <v>3303</v>
      </c>
      <c r="AL32" s="5">
        <v>-553</v>
      </c>
      <c r="AM32" s="6">
        <v>1237</v>
      </c>
      <c r="AN32" s="5">
        <v>188</v>
      </c>
      <c r="AO32" s="5">
        <v>59</v>
      </c>
      <c r="AP32" s="5">
        <v>214</v>
      </c>
      <c r="AQ32" s="5">
        <v>233</v>
      </c>
    </row>
    <row r="33" spans="1:45" s="5" customFormat="1" x14ac:dyDescent="0.2">
      <c r="A33" s="23" t="s">
        <v>64</v>
      </c>
      <c r="B33" s="4">
        <f>SUM(V33,W33,X33,Y33)</f>
        <v>64289</v>
      </c>
      <c r="C33" s="4">
        <f>SUM(Z33:AC33)</f>
        <v>3505</v>
      </c>
      <c r="D33" s="4">
        <f t="shared" si="17"/>
        <v>667</v>
      </c>
      <c r="E33" s="4">
        <f t="shared" si="18"/>
        <v>597</v>
      </c>
      <c r="F33" s="4">
        <f t="shared" si="19"/>
        <v>79</v>
      </c>
      <c r="V33" s="6">
        <v>1392</v>
      </c>
      <c r="W33" s="6">
        <v>24711</v>
      </c>
      <c r="X33" s="6">
        <v>2171</v>
      </c>
      <c r="Y33" s="6">
        <v>36015</v>
      </c>
      <c r="Z33" s="6">
        <v>2221</v>
      </c>
      <c r="AA33" s="5">
        <v>194</v>
      </c>
      <c r="AB33" s="5">
        <v>767</v>
      </c>
      <c r="AC33" s="5">
        <v>323</v>
      </c>
      <c r="AD33" s="5">
        <v>18</v>
      </c>
      <c r="AE33" s="5">
        <v>612</v>
      </c>
      <c r="AF33" s="5">
        <v>45</v>
      </c>
      <c r="AG33" s="5">
        <v>-8</v>
      </c>
      <c r="AH33" s="5">
        <v>23</v>
      </c>
      <c r="AI33" s="5">
        <v>-65</v>
      </c>
      <c r="AJ33" s="5">
        <v>698</v>
      </c>
      <c r="AK33" s="5">
        <v>-59</v>
      </c>
      <c r="AL33" s="5">
        <v>79</v>
      </c>
    </row>
    <row r="34" spans="1:45" s="5" customFormat="1" x14ac:dyDescent="0.2">
      <c r="A34" s="23" t="s">
        <v>248</v>
      </c>
      <c r="B34" s="4"/>
      <c r="C34" s="4">
        <f>SUM(Z34:AC34)</f>
        <v>38480</v>
      </c>
      <c r="D34" s="6"/>
      <c r="E34" s="4"/>
      <c r="F34" s="4"/>
      <c r="V34" s="6"/>
      <c r="W34" s="6"/>
      <c r="X34" s="6"/>
      <c r="Y34" s="6"/>
      <c r="Z34" s="6"/>
      <c r="AA34" s="6">
        <v>38480</v>
      </c>
    </row>
    <row r="35" spans="1:45" x14ac:dyDescent="0.2">
      <c r="A35" s="21" t="s">
        <v>65</v>
      </c>
      <c r="B35" s="7">
        <f>SUM(V35,W35,X35,Y35)</f>
        <v>652468</v>
      </c>
      <c r="C35" s="7">
        <f>SUM(Z35:AC35)</f>
        <v>529628</v>
      </c>
      <c r="D35" s="7">
        <f>SUM(AD35:AG35)</f>
        <v>585041</v>
      </c>
      <c r="E35" s="7">
        <f t="shared" si="18"/>
        <v>575207</v>
      </c>
      <c r="F35" s="7">
        <f t="shared" si="19"/>
        <v>579050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7">
        <f>SUM(V26,V28,V31,V32,V33)</f>
        <v>136104</v>
      </c>
      <c r="W35" s="7">
        <f>SUM(W26,W28,W31,W32,W33)</f>
        <v>156807</v>
      </c>
      <c r="X35" s="7">
        <f t="shared" ref="X35:AR35" si="20">SUM(X26,X28,X31,X32,X33)</f>
        <v>130800</v>
      </c>
      <c r="Y35" s="7">
        <f t="shared" si="20"/>
        <v>228757</v>
      </c>
      <c r="Z35" s="7">
        <f t="shared" si="20"/>
        <v>128405</v>
      </c>
      <c r="AA35" s="7">
        <f>SUM(AA26,AA28,AA31,AA32,AA33,AA34)</f>
        <v>159632</v>
      </c>
      <c r="AB35" s="7">
        <f t="shared" si="20"/>
        <v>113174</v>
      </c>
      <c r="AC35" s="7">
        <f t="shared" si="20"/>
        <v>128417</v>
      </c>
      <c r="AD35" s="7">
        <f t="shared" si="20"/>
        <v>166761</v>
      </c>
      <c r="AE35" s="7">
        <f t="shared" si="20"/>
        <v>138847</v>
      </c>
      <c r="AF35" s="7">
        <f t="shared" si="20"/>
        <v>132313</v>
      </c>
      <c r="AG35" s="7">
        <f t="shared" si="20"/>
        <v>147120</v>
      </c>
      <c r="AH35" s="7">
        <f t="shared" si="20"/>
        <v>142579</v>
      </c>
      <c r="AI35" s="7">
        <f t="shared" si="20"/>
        <v>145813</v>
      </c>
      <c r="AJ35" s="7">
        <f t="shared" si="20"/>
        <v>135665</v>
      </c>
      <c r="AK35" s="7">
        <f t="shared" si="20"/>
        <v>151150</v>
      </c>
      <c r="AL35" s="7">
        <f t="shared" si="20"/>
        <v>141006</v>
      </c>
      <c r="AM35" s="7">
        <f t="shared" si="20"/>
        <v>147205</v>
      </c>
      <c r="AN35" s="7">
        <f t="shared" si="20"/>
        <v>137762</v>
      </c>
      <c r="AO35" s="7">
        <f t="shared" si="20"/>
        <v>153077</v>
      </c>
      <c r="AP35" s="7">
        <f t="shared" si="20"/>
        <v>168742</v>
      </c>
      <c r="AQ35" s="7">
        <f t="shared" si="20"/>
        <v>154574</v>
      </c>
      <c r="AR35" s="7">
        <f t="shared" si="20"/>
        <v>0</v>
      </c>
      <c r="AS35" s="7">
        <f>SUM(AS26,AS28,AS31,AS32,AS33)</f>
        <v>0</v>
      </c>
    </row>
    <row r="36" spans="1:45" x14ac:dyDescent="0.2">
      <c r="A36" s="22" t="s">
        <v>66</v>
      </c>
      <c r="B36" s="8">
        <f>B35/B10</f>
        <v>0.32926787419281256</v>
      </c>
      <c r="C36" s="8">
        <f>C35/C10</f>
        <v>0.29496470189867918</v>
      </c>
      <c r="D36" s="8">
        <f>D35/D10</f>
        <v>0.26915353235803835</v>
      </c>
      <c r="E36" s="8">
        <f>E35/E10</f>
        <v>0.23565973475492219</v>
      </c>
      <c r="F36" s="8">
        <f>F35/F10</f>
        <v>0.24461450983738553</v>
      </c>
      <c r="V36" s="8">
        <f>V35/V10</f>
        <v>0.26195306154657472</v>
      </c>
      <c r="W36" s="8">
        <f>W35/W10</f>
        <v>0.32039876423136338</v>
      </c>
      <c r="X36" s="8">
        <f t="shared" ref="X36:AR36" si="21">X35/X10</f>
        <v>0.26861129194227734</v>
      </c>
      <c r="Y36" s="8">
        <f t="shared" si="21"/>
        <v>0.47104524572880568</v>
      </c>
      <c r="Z36" s="8">
        <f t="shared" si="21"/>
        <v>0.27013807220652558</v>
      </c>
      <c r="AA36" s="8">
        <f t="shared" si="21"/>
        <v>0.36961947939483469</v>
      </c>
      <c r="AB36" s="8">
        <f t="shared" si="21"/>
        <v>0.26891127690918593</v>
      </c>
      <c r="AC36" s="8">
        <f t="shared" si="21"/>
        <v>0.27469405828133592</v>
      </c>
      <c r="AD36" s="8">
        <f t="shared" si="21"/>
        <v>0.33715109437990531</v>
      </c>
      <c r="AE36" s="8">
        <f t="shared" si="21"/>
        <v>0.25661559502467335</v>
      </c>
      <c r="AF36" s="8">
        <f t="shared" si="21"/>
        <v>0.23594794319259876</v>
      </c>
      <c r="AG36" s="8">
        <f t="shared" si="21"/>
        <v>0.25489757836905053</v>
      </c>
      <c r="AH36" s="8">
        <f t="shared" si="21"/>
        <v>0.23627622870134993</v>
      </c>
      <c r="AI36" s="8">
        <f t="shared" si="21"/>
        <v>0.23940308897678259</v>
      </c>
      <c r="AJ36" s="8">
        <f t="shared" si="21"/>
        <v>0.2204279061907965</v>
      </c>
      <c r="AK36" s="8">
        <f t="shared" si="21"/>
        <v>0.24662894214703426</v>
      </c>
      <c r="AL36" s="8">
        <f t="shared" si="21"/>
        <v>0.23224206169470199</v>
      </c>
      <c r="AM36" s="8">
        <f t="shared" si="21"/>
        <v>0.24260788020324311</v>
      </c>
      <c r="AN36" s="8">
        <f t="shared" si="21"/>
        <v>0.23685708145282613</v>
      </c>
      <c r="AO36" s="8">
        <f t="shared" si="21"/>
        <v>0.26777770586208161</v>
      </c>
      <c r="AP36" s="8">
        <f t="shared" si="21"/>
        <v>0.28747389187402678</v>
      </c>
      <c r="AQ36" s="8">
        <f t="shared" si="21"/>
        <v>0.27460197334527148</v>
      </c>
      <c r="AR36" s="8" t="e">
        <f t="shared" si="21"/>
        <v>#DIV/0!</v>
      </c>
      <c r="AS36" s="8" t="e">
        <f>AS35/AS10</f>
        <v>#DIV/0!</v>
      </c>
    </row>
    <row r="38" spans="1:45" x14ac:dyDescent="0.2">
      <c r="A38" s="21" t="s">
        <v>67</v>
      </c>
      <c r="B38" s="7">
        <f>SUM(V38,W38,X38,Y38)</f>
        <v>-79299</v>
      </c>
      <c r="C38" s="7">
        <f>SUM(Z38:AC38)</f>
        <v>-7439</v>
      </c>
      <c r="D38" s="7">
        <f>SUM(AD38:AG38)</f>
        <v>128867</v>
      </c>
      <c r="E38" s="7">
        <f>SUM(AH38:AK38)</f>
        <v>264110</v>
      </c>
      <c r="F38" s="7">
        <f>SUM(AL38:AO38)</f>
        <v>313068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7">
        <f>V20-V35</f>
        <v>30940</v>
      </c>
      <c r="W38" s="7">
        <f>W20-W35</f>
        <v>-6932</v>
      </c>
      <c r="X38" s="7">
        <f t="shared" ref="X38:AS38" si="22">X20-X35</f>
        <v>4163</v>
      </c>
      <c r="Y38" s="7">
        <f t="shared" si="22"/>
        <v>-107470</v>
      </c>
      <c r="Z38" s="7">
        <f t="shared" si="22"/>
        <v>6819</v>
      </c>
      <c r="AA38" s="7">
        <f t="shared" si="22"/>
        <v>-33527</v>
      </c>
      <c r="AB38" s="7">
        <f t="shared" si="22"/>
        <v>6888</v>
      </c>
      <c r="AC38" s="7">
        <f t="shared" si="22"/>
        <v>12381</v>
      </c>
      <c r="AD38" s="7">
        <f t="shared" si="22"/>
        <v>-10393</v>
      </c>
      <c r="AE38" s="7">
        <f t="shared" si="22"/>
        <v>35100</v>
      </c>
      <c r="AF38" s="7">
        <f t="shared" si="22"/>
        <v>54890</v>
      </c>
      <c r="AG38" s="7">
        <f t="shared" si="22"/>
        <v>49270</v>
      </c>
      <c r="AH38" s="7">
        <f t="shared" si="22"/>
        <v>62800</v>
      </c>
      <c r="AI38" s="7">
        <f t="shared" si="22"/>
        <v>64647</v>
      </c>
      <c r="AJ38" s="7">
        <f t="shared" si="22"/>
        <v>73933</v>
      </c>
      <c r="AK38" s="7">
        <f t="shared" si="22"/>
        <v>62730</v>
      </c>
      <c r="AL38" s="7">
        <f t="shared" si="22"/>
        <v>76213</v>
      </c>
      <c r="AM38" s="7">
        <f t="shared" si="22"/>
        <v>76413</v>
      </c>
      <c r="AN38" s="7">
        <f t="shared" si="22"/>
        <v>81783</v>
      </c>
      <c r="AO38" s="7">
        <f t="shared" si="22"/>
        <v>78659</v>
      </c>
      <c r="AP38" s="7">
        <f t="shared" si="22"/>
        <v>67577</v>
      </c>
      <c r="AQ38" s="7">
        <f t="shared" si="22"/>
        <v>76066</v>
      </c>
      <c r="AR38" s="7">
        <f t="shared" si="22"/>
        <v>0</v>
      </c>
      <c r="AS38" s="7">
        <f t="shared" si="22"/>
        <v>0</v>
      </c>
    </row>
    <row r="39" spans="1:45" x14ac:dyDescent="0.2">
      <c r="A39" s="22" t="s">
        <v>68</v>
      </c>
      <c r="B39" s="8">
        <f>B38/B10</f>
        <v>-4.0018227952352978E-2</v>
      </c>
      <c r="C39" s="8">
        <f>C38/C10</f>
        <v>-4.1429879413933451E-3</v>
      </c>
      <c r="D39" s="8">
        <f>D38/D10</f>
        <v>5.9286457281426994E-2</v>
      </c>
      <c r="E39" s="8">
        <f>E38/E10</f>
        <v>0.10820468552385923</v>
      </c>
      <c r="F39" s="8">
        <f>F38/F10</f>
        <v>0.13225278536528903</v>
      </c>
      <c r="V39" s="8">
        <f>V38/V10</f>
        <v>5.9548784196283878E-2</v>
      </c>
      <c r="W39" s="8">
        <f>W38/W10</f>
        <v>-1.4163935498107934E-2</v>
      </c>
      <c r="X39" s="8">
        <f t="shared" ref="X39:AR39" si="23">X38/X10</f>
        <v>8.5491499109763038E-3</v>
      </c>
      <c r="Y39" s="8">
        <f t="shared" si="23"/>
        <v>-0.22129697696015749</v>
      </c>
      <c r="Z39" s="8">
        <f t="shared" si="23"/>
        <v>1.4345792721282643E-2</v>
      </c>
      <c r="AA39" s="8">
        <f t="shared" si="23"/>
        <v>-7.7630000787252074E-2</v>
      </c>
      <c r="AB39" s="8">
        <f t="shared" si="23"/>
        <v>1.6366487668108158E-2</v>
      </c>
      <c r="AC39" s="8">
        <f t="shared" si="23"/>
        <v>2.6483932310996362E-2</v>
      </c>
      <c r="AD39" s="8">
        <f t="shared" si="23"/>
        <v>-2.1012175052262553E-2</v>
      </c>
      <c r="AE39" s="8">
        <f t="shared" si="23"/>
        <v>6.4871458406490848E-2</v>
      </c>
      <c r="AF39" s="8">
        <f t="shared" si="23"/>
        <v>9.7882918548001685E-2</v>
      </c>
      <c r="AG39" s="8">
        <f t="shared" si="23"/>
        <v>8.5364353495399128E-2</v>
      </c>
      <c r="AH39" s="8">
        <f t="shared" si="23"/>
        <v>0.10406965375297046</v>
      </c>
      <c r="AI39" s="8">
        <f t="shared" si="23"/>
        <v>0.10614068356787162</v>
      </c>
      <c r="AJ39" s="8">
        <f t="shared" si="23"/>
        <v>0.1201260191530915</v>
      </c>
      <c r="AK39" s="8">
        <f t="shared" si="23"/>
        <v>0.10235549812030076</v>
      </c>
      <c r="AL39" s="8">
        <f t="shared" si="23"/>
        <v>0.12552561059769315</v>
      </c>
      <c r="AM39" s="8">
        <f t="shared" si="23"/>
        <v>0.1259359121631087</v>
      </c>
      <c r="AN39" s="8">
        <f t="shared" si="23"/>
        <v>0.14061121856866537</v>
      </c>
      <c r="AO39" s="8">
        <f t="shared" si="23"/>
        <v>0.13759824510152066</v>
      </c>
      <c r="AP39" s="8">
        <f t="shared" si="23"/>
        <v>0.11512618785584566</v>
      </c>
      <c r="AQ39" s="8">
        <f t="shared" si="23"/>
        <v>0.13513187020120732</v>
      </c>
      <c r="AR39" s="8" t="e">
        <f t="shared" si="23"/>
        <v>#DIV/0!</v>
      </c>
      <c r="AS39" s="8" t="e">
        <f>AS38/AS10</f>
        <v>#DIV/0!</v>
      </c>
    </row>
    <row r="41" spans="1:45" x14ac:dyDescent="0.2">
      <c r="A41" s="19" t="s">
        <v>69</v>
      </c>
    </row>
    <row r="42" spans="1:45" s="5" customFormat="1" x14ac:dyDescent="0.2">
      <c r="A42" s="23" t="s">
        <v>70</v>
      </c>
      <c r="B42" s="4">
        <f>SUM(V42,W42,X42,Y42)</f>
        <v>1557</v>
      </c>
      <c r="C42" s="4">
        <f t="shared" ref="C42:C44" si="24">SUM(Z42:AC42)</f>
        <v>2633</v>
      </c>
      <c r="D42" s="4">
        <f t="shared" ref="D42:D45" si="25">SUM(AD42:AG42)</f>
        <v>9314</v>
      </c>
      <c r="E42" s="4">
        <f t="shared" ref="E42:E45" si="26">SUM(AH42:AK42)</f>
        <v>34577</v>
      </c>
      <c r="F42" s="4">
        <f t="shared" ref="F42:F45" si="27">SUM(AL42:AO42)</f>
        <v>48376</v>
      </c>
      <c r="V42" s="5">
        <v>542</v>
      </c>
      <c r="W42" s="5">
        <v>432</v>
      </c>
      <c r="X42" s="5">
        <v>352</v>
      </c>
      <c r="Y42" s="5">
        <v>231</v>
      </c>
      <c r="Z42" s="5">
        <v>217</v>
      </c>
      <c r="AA42" s="5">
        <v>349</v>
      </c>
      <c r="AB42" s="5">
        <v>801</v>
      </c>
      <c r="AC42" s="6">
        <v>1266</v>
      </c>
      <c r="AD42" s="6">
        <v>1818</v>
      </c>
      <c r="AE42" s="6">
        <v>1508</v>
      </c>
      <c r="AF42" s="6">
        <v>2642</v>
      </c>
      <c r="AG42" s="6">
        <v>3346</v>
      </c>
      <c r="AH42" s="6">
        <v>3846</v>
      </c>
      <c r="AI42" s="6">
        <v>5128</v>
      </c>
      <c r="AJ42" s="6">
        <v>13420</v>
      </c>
      <c r="AK42" s="6">
        <v>12183</v>
      </c>
      <c r="AL42" s="6">
        <v>11710</v>
      </c>
      <c r="AM42" s="6">
        <v>12303</v>
      </c>
      <c r="AN42" s="6">
        <v>13569</v>
      </c>
      <c r="AO42" s="6">
        <v>10794</v>
      </c>
      <c r="AP42" s="6">
        <v>5660</v>
      </c>
      <c r="AQ42" s="6">
        <v>6253</v>
      </c>
    </row>
    <row r="43" spans="1:45" s="5" customFormat="1" x14ac:dyDescent="0.2">
      <c r="A43" s="23" t="s">
        <v>71</v>
      </c>
      <c r="B43" s="4">
        <f>SUM(V43,W43,X43,Y43)</f>
        <v>-28638</v>
      </c>
      <c r="C43" s="4">
        <f t="shared" si="24"/>
        <v>-6724</v>
      </c>
      <c r="D43" s="4">
        <f t="shared" si="25"/>
        <v>-8349</v>
      </c>
      <c r="E43" s="4">
        <f t="shared" si="26"/>
        <v>-15379</v>
      </c>
      <c r="F43" s="4">
        <f t="shared" si="27"/>
        <v>-22451</v>
      </c>
      <c r="V43" s="6">
        <v>-10475</v>
      </c>
      <c r="W43" s="6">
        <v>-14004</v>
      </c>
      <c r="X43" s="6">
        <v>-2628</v>
      </c>
      <c r="Y43" s="6">
        <v>-1531</v>
      </c>
      <c r="Z43" s="6">
        <v>-1592</v>
      </c>
      <c r="AA43" s="6">
        <v>-1660</v>
      </c>
      <c r="AB43" s="6">
        <v>-1679</v>
      </c>
      <c r="AC43" s="6">
        <v>-1793</v>
      </c>
      <c r="AD43" s="6">
        <v>-2057</v>
      </c>
      <c r="AE43" s="6">
        <v>-1977</v>
      </c>
      <c r="AF43" s="6">
        <v>-2445</v>
      </c>
      <c r="AG43" s="6">
        <v>-1870</v>
      </c>
      <c r="AH43" s="6">
        <v>-1893</v>
      </c>
      <c r="AI43" s="6">
        <v>-2290</v>
      </c>
      <c r="AJ43" s="6">
        <v>-5605</v>
      </c>
      <c r="AK43" s="6">
        <v>-5591</v>
      </c>
      <c r="AL43" s="6">
        <v>-5593</v>
      </c>
      <c r="AM43" s="6">
        <v>-5648</v>
      </c>
      <c r="AN43" s="6">
        <v>-5647</v>
      </c>
      <c r="AO43" s="6">
        <v>-5563</v>
      </c>
      <c r="AP43" s="6">
        <v>-5809</v>
      </c>
      <c r="AQ43" s="6">
        <v>-5768</v>
      </c>
    </row>
    <row r="44" spans="1:45" s="5" customFormat="1" x14ac:dyDescent="0.2">
      <c r="A44" s="23" t="s">
        <v>72</v>
      </c>
      <c r="B44" s="4">
        <f>SUM(V44,W44,X44,Y44)</f>
        <v>-17430</v>
      </c>
      <c r="C44" s="4">
        <f t="shared" si="24"/>
        <v>-4213</v>
      </c>
      <c r="D44" s="4">
        <f t="shared" si="25"/>
        <v>-2446</v>
      </c>
      <c r="E44" s="4">
        <f t="shared" si="26"/>
        <v>1223</v>
      </c>
      <c r="F44" s="4">
        <f t="shared" si="27"/>
        <v>3274</v>
      </c>
      <c r="V44" s="6">
        <v>-2766</v>
      </c>
      <c r="W44" s="6">
        <v>-12157</v>
      </c>
      <c r="X44" s="6">
        <v>-1761</v>
      </c>
      <c r="Y44" s="5">
        <v>-746</v>
      </c>
      <c r="Z44" s="5">
        <v>-689</v>
      </c>
      <c r="AA44" s="6">
        <v>-1386</v>
      </c>
      <c r="AB44" s="6">
        <v>-1065</v>
      </c>
      <c r="AC44" s="6">
        <v>-1073</v>
      </c>
      <c r="AD44" s="6">
        <v>-1475</v>
      </c>
      <c r="AE44" s="5">
        <v>-333</v>
      </c>
      <c r="AF44" s="5">
        <v>646</v>
      </c>
      <c r="AG44" s="6">
        <v>-1284</v>
      </c>
      <c r="AH44" s="5">
        <v>463</v>
      </c>
      <c r="AI44" s="5">
        <v>-445</v>
      </c>
      <c r="AJ44" s="5">
        <v>677</v>
      </c>
      <c r="AK44" s="5">
        <v>528</v>
      </c>
      <c r="AL44" s="5">
        <v>-51</v>
      </c>
      <c r="AM44" s="5">
        <v>414</v>
      </c>
      <c r="AN44" s="5">
        <v>996</v>
      </c>
      <c r="AO44" s="6">
        <v>1915</v>
      </c>
      <c r="AP44" s="5">
        <v>-233</v>
      </c>
      <c r="AQ44" s="6">
        <v>3655</v>
      </c>
    </row>
    <row r="45" spans="1:45" x14ac:dyDescent="0.2">
      <c r="A45" s="21" t="s">
        <v>73</v>
      </c>
      <c r="B45" s="7">
        <f>SUM(V45,W45,X45,Y45)</f>
        <v>-44511</v>
      </c>
      <c r="C45" s="7">
        <f>SUM(Z45:AC45)</f>
        <v>-8304</v>
      </c>
      <c r="D45" s="7">
        <f t="shared" si="25"/>
        <v>-1481</v>
      </c>
      <c r="E45" s="7">
        <f t="shared" si="26"/>
        <v>20421</v>
      </c>
      <c r="F45" s="7">
        <f t="shared" si="27"/>
        <v>29199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7">
        <f>SUM(V42:V44)</f>
        <v>-12699</v>
      </c>
      <c r="W45" s="7">
        <f>SUM(W42:W44)</f>
        <v>-25729</v>
      </c>
      <c r="X45" s="7">
        <f t="shared" ref="X45:AS45" si="28">SUM(X42:X44)</f>
        <v>-4037</v>
      </c>
      <c r="Y45" s="7">
        <f t="shared" si="28"/>
        <v>-2046</v>
      </c>
      <c r="Z45" s="7">
        <f t="shared" si="28"/>
        <v>-2064</v>
      </c>
      <c r="AA45" s="7">
        <f t="shared" si="28"/>
        <v>-2697</v>
      </c>
      <c r="AB45" s="7">
        <f t="shared" si="28"/>
        <v>-1943</v>
      </c>
      <c r="AC45" s="7">
        <f t="shared" si="28"/>
        <v>-1600</v>
      </c>
      <c r="AD45" s="7">
        <f t="shared" si="28"/>
        <v>-1714</v>
      </c>
      <c r="AE45" s="7">
        <f t="shared" si="28"/>
        <v>-802</v>
      </c>
      <c r="AF45" s="7">
        <f t="shared" si="28"/>
        <v>843</v>
      </c>
      <c r="AG45" s="7">
        <f t="shared" si="28"/>
        <v>192</v>
      </c>
      <c r="AH45" s="7">
        <f t="shared" si="28"/>
        <v>2416</v>
      </c>
      <c r="AI45" s="7">
        <f t="shared" si="28"/>
        <v>2393</v>
      </c>
      <c r="AJ45" s="7">
        <f t="shared" si="28"/>
        <v>8492</v>
      </c>
      <c r="AK45" s="7">
        <f t="shared" si="28"/>
        <v>7120</v>
      </c>
      <c r="AL45" s="7">
        <f t="shared" si="28"/>
        <v>6066</v>
      </c>
      <c r="AM45" s="7">
        <f t="shared" si="28"/>
        <v>7069</v>
      </c>
      <c r="AN45" s="7">
        <f t="shared" si="28"/>
        <v>8918</v>
      </c>
      <c r="AO45" s="7">
        <f t="shared" si="28"/>
        <v>7146</v>
      </c>
      <c r="AP45" s="7">
        <f t="shared" si="28"/>
        <v>-382</v>
      </c>
      <c r="AQ45" s="7">
        <f t="shared" si="28"/>
        <v>4140</v>
      </c>
      <c r="AR45" s="7">
        <f t="shared" si="28"/>
        <v>0</v>
      </c>
      <c r="AS45" s="7">
        <f t="shared" si="28"/>
        <v>0</v>
      </c>
    </row>
    <row r="47" spans="1:45" x14ac:dyDescent="0.2">
      <c r="A47" s="21" t="s">
        <v>74</v>
      </c>
      <c r="B47" s="7">
        <f>SUM(V47,W47,X47,Y47)</f>
        <v>-123810</v>
      </c>
      <c r="C47" s="7">
        <f>SUM(Z47:AC47)</f>
        <v>-15743</v>
      </c>
      <c r="D47" s="7">
        <f>SUM(AD47:AG47)</f>
        <v>127386</v>
      </c>
      <c r="E47" s="7">
        <f>SUM(AH47:AK47)</f>
        <v>284531</v>
      </c>
      <c r="F47" s="7">
        <f>SUM(AL47:AO47)</f>
        <v>342267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7">
        <f>SUM(V38,V45)</f>
        <v>18241</v>
      </c>
      <c r="W47" s="7">
        <f>SUM(W38,W45)</f>
        <v>-32661</v>
      </c>
      <c r="X47" s="7">
        <f t="shared" ref="X47:AS47" si="29">SUM(X38,X45)</f>
        <v>126</v>
      </c>
      <c r="Y47" s="7">
        <f t="shared" si="29"/>
        <v>-109516</v>
      </c>
      <c r="Z47" s="7">
        <f t="shared" si="29"/>
        <v>4755</v>
      </c>
      <c r="AA47" s="7">
        <f t="shared" si="29"/>
        <v>-36224</v>
      </c>
      <c r="AB47" s="7">
        <f t="shared" si="29"/>
        <v>4945</v>
      </c>
      <c r="AC47" s="7">
        <f t="shared" si="29"/>
        <v>10781</v>
      </c>
      <c r="AD47" s="7">
        <f t="shared" si="29"/>
        <v>-12107</v>
      </c>
      <c r="AE47" s="7">
        <f t="shared" si="29"/>
        <v>34298</v>
      </c>
      <c r="AF47" s="7">
        <f t="shared" si="29"/>
        <v>55733</v>
      </c>
      <c r="AG47" s="7">
        <f t="shared" si="29"/>
        <v>49462</v>
      </c>
      <c r="AH47" s="7">
        <f t="shared" si="29"/>
        <v>65216</v>
      </c>
      <c r="AI47" s="7">
        <f t="shared" si="29"/>
        <v>67040</v>
      </c>
      <c r="AJ47" s="7">
        <f t="shared" si="29"/>
        <v>82425</v>
      </c>
      <c r="AK47" s="7">
        <f t="shared" si="29"/>
        <v>69850</v>
      </c>
      <c r="AL47" s="7">
        <f t="shared" si="29"/>
        <v>82279</v>
      </c>
      <c r="AM47" s="7">
        <f t="shared" si="29"/>
        <v>83482</v>
      </c>
      <c r="AN47" s="7">
        <f t="shared" si="29"/>
        <v>90701</v>
      </c>
      <c r="AO47" s="7">
        <f t="shared" si="29"/>
        <v>85805</v>
      </c>
      <c r="AP47" s="7">
        <f t="shared" si="29"/>
        <v>67195</v>
      </c>
      <c r="AQ47" s="7">
        <f t="shared" si="29"/>
        <v>80206</v>
      </c>
      <c r="AR47" s="7">
        <f t="shared" si="29"/>
        <v>0</v>
      </c>
      <c r="AS47" s="7">
        <f t="shared" si="29"/>
        <v>0</v>
      </c>
    </row>
    <row r="48" spans="1:45" s="5" customFormat="1" x14ac:dyDescent="0.2">
      <c r="A48" s="23" t="s">
        <v>75</v>
      </c>
      <c r="B48" s="4">
        <f>SUM(V48,W48,X48,Y48)</f>
        <v>45512</v>
      </c>
      <c r="C48" s="4">
        <f>SUM(Z48:AC48)</f>
        <v>6196</v>
      </c>
      <c r="D48" s="4">
        <f>SUM(AD48:AG48)</f>
        <v>-29068</v>
      </c>
      <c r="E48" s="4">
        <f>SUM(AH48:AK48)</f>
        <v>-43407</v>
      </c>
      <c r="F48" s="4">
        <f>SUM(AL48:AO48)</f>
        <v>-38932</v>
      </c>
      <c r="V48" s="6">
        <v>-4661</v>
      </c>
      <c r="W48" s="5">
        <v>216</v>
      </c>
      <c r="X48" s="6">
        <v>-1136</v>
      </c>
      <c r="Y48" s="6">
        <v>51093</v>
      </c>
      <c r="Z48" s="6">
        <v>-3859</v>
      </c>
      <c r="AA48" s="5">
        <v>-641</v>
      </c>
      <c r="AB48" s="5">
        <v>-473</v>
      </c>
      <c r="AC48" s="6">
        <v>11169</v>
      </c>
      <c r="AD48" s="5">
        <v>70</v>
      </c>
      <c r="AE48" s="6">
        <v>-9195</v>
      </c>
      <c r="AF48" s="6">
        <v>-15388</v>
      </c>
      <c r="AG48" s="6">
        <v>-4555</v>
      </c>
      <c r="AH48" s="6">
        <v>-13429</v>
      </c>
      <c r="AI48" s="6">
        <v>-15180</v>
      </c>
      <c r="AJ48" s="6">
        <v>-3515</v>
      </c>
      <c r="AK48" s="6">
        <v>-11283</v>
      </c>
      <c r="AL48" s="6">
        <v>-16929</v>
      </c>
      <c r="AM48" s="6">
        <v>-14730</v>
      </c>
      <c r="AN48" s="6">
        <v>-24478</v>
      </c>
      <c r="AO48" s="6">
        <v>17205</v>
      </c>
      <c r="AP48" s="6">
        <v>-13609</v>
      </c>
      <c r="AQ48" s="6">
        <v>-26733</v>
      </c>
    </row>
    <row r="49" spans="1:45" x14ac:dyDescent="0.2">
      <c r="A49" s="22" t="s">
        <v>76</v>
      </c>
      <c r="B49" s="8">
        <f>B48/B47</f>
        <v>-0.36759550924804135</v>
      </c>
      <c r="C49" s="8">
        <f>C48/C47</f>
        <v>-0.39357174617290225</v>
      </c>
      <c r="D49" s="8">
        <f>D48/D47</f>
        <v>-0.22818834094798487</v>
      </c>
      <c r="E49" s="8">
        <f>E48/E47</f>
        <v>-0.15255631196600722</v>
      </c>
      <c r="F49" s="8">
        <f>F48/F47</f>
        <v>-0.11374745447267777</v>
      </c>
      <c r="V49" s="8">
        <f>V48/V47</f>
        <v>-0.25552327175045225</v>
      </c>
      <c r="W49" s="8">
        <f>W48/W47</f>
        <v>-6.6133921190410583E-3</v>
      </c>
      <c r="X49" s="8">
        <f>X48/X47</f>
        <v>-9.0158730158730158</v>
      </c>
      <c r="Y49" s="8">
        <f>Y48/Y47</f>
        <v>-0.46653457029109902</v>
      </c>
      <c r="Z49" s="8">
        <f t="shared" ref="Z49:AS49" si="30">Z48/Z47</f>
        <v>-0.81156677181913772</v>
      </c>
      <c r="AA49" s="8">
        <f t="shared" si="30"/>
        <v>1.7695450530035337E-2</v>
      </c>
      <c r="AB49" s="8">
        <f t="shared" si="30"/>
        <v>-9.5652173913043481E-2</v>
      </c>
      <c r="AC49" s="8">
        <f t="shared" si="30"/>
        <v>1.0359892403302104</v>
      </c>
      <c r="AD49" s="8">
        <f t="shared" si="30"/>
        <v>-5.7817791360370036E-3</v>
      </c>
      <c r="AE49" s="8">
        <f t="shared" si="30"/>
        <v>-0.26809143390285151</v>
      </c>
      <c r="AF49" s="8">
        <f t="shared" si="30"/>
        <v>-0.27610212979742704</v>
      </c>
      <c r="AG49" s="8">
        <f t="shared" si="30"/>
        <v>-9.2090898063159593E-2</v>
      </c>
      <c r="AH49" s="8">
        <f>AH48/AH47</f>
        <v>-0.20591572620215898</v>
      </c>
      <c r="AI49" s="8">
        <f t="shared" si="30"/>
        <v>-0.22643198090692124</v>
      </c>
      <c r="AJ49" s="8">
        <f t="shared" si="30"/>
        <v>-4.2644828632089779E-2</v>
      </c>
      <c r="AK49" s="8">
        <f t="shared" si="30"/>
        <v>-0.16153185397279884</v>
      </c>
      <c r="AL49" s="8">
        <f t="shared" si="30"/>
        <v>-0.20575116372342883</v>
      </c>
      <c r="AM49" s="8">
        <f t="shared" si="30"/>
        <v>-0.1764452217244436</v>
      </c>
      <c r="AN49" s="8">
        <f t="shared" si="30"/>
        <v>-0.26987574558163635</v>
      </c>
      <c r="AO49" s="8">
        <f t="shared" si="30"/>
        <v>0.20051279062991667</v>
      </c>
      <c r="AP49" s="8">
        <f t="shared" si="30"/>
        <v>-0.20252995014510008</v>
      </c>
      <c r="AQ49" s="8">
        <f t="shared" si="30"/>
        <v>-0.33330424157793681</v>
      </c>
      <c r="AR49" s="8" t="e">
        <f t="shared" si="30"/>
        <v>#DIV/0!</v>
      </c>
      <c r="AS49" s="8" t="e">
        <f t="shared" si="30"/>
        <v>#DIV/0!</v>
      </c>
    </row>
    <row r="50" spans="1:45" x14ac:dyDescent="0.2">
      <c r="A50" s="21" t="s">
        <v>77</v>
      </c>
      <c r="B50" s="7">
        <f>SUM(V50,W50,X50,Y50)</f>
        <v>-78298</v>
      </c>
      <c r="C50" s="7">
        <f>SUM(Z50:AC50)</f>
        <v>-9547</v>
      </c>
      <c r="D50" s="7">
        <f>SUM(AD50:AG50)</f>
        <v>98318</v>
      </c>
      <c r="E50" s="7">
        <f>SUM(AH50:AK50)</f>
        <v>241124</v>
      </c>
      <c r="F50" s="7">
        <f>SUM(AL50:AO50)</f>
        <v>303335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7">
        <f>SUM(V47,V48)</f>
        <v>13580</v>
      </c>
      <c r="W50" s="7">
        <f>SUM(W47,W48)</f>
        <v>-32445</v>
      </c>
      <c r="X50" s="7">
        <f t="shared" ref="X50:AS50" si="31">SUM(X47,X48)</f>
        <v>-1010</v>
      </c>
      <c r="Y50" s="7">
        <f t="shared" si="31"/>
        <v>-58423</v>
      </c>
      <c r="Z50" s="7">
        <f t="shared" si="31"/>
        <v>896</v>
      </c>
      <c r="AA50" s="7">
        <f t="shared" si="31"/>
        <v>-36865</v>
      </c>
      <c r="AB50" s="7">
        <f t="shared" si="31"/>
        <v>4472</v>
      </c>
      <c r="AC50" s="7">
        <f t="shared" si="31"/>
        <v>21950</v>
      </c>
      <c r="AD50" s="7">
        <f t="shared" si="31"/>
        <v>-12037</v>
      </c>
      <c r="AE50" s="7">
        <f t="shared" si="31"/>
        <v>25103</v>
      </c>
      <c r="AF50" s="7">
        <f t="shared" si="31"/>
        <v>40345</v>
      </c>
      <c r="AG50" s="7">
        <f t="shared" si="31"/>
        <v>44907</v>
      </c>
      <c r="AH50" s="7">
        <f>SUM(AH47,AH48)</f>
        <v>51787</v>
      </c>
      <c r="AI50" s="7">
        <f t="shared" si="31"/>
        <v>51860</v>
      </c>
      <c r="AJ50" s="7">
        <f t="shared" si="31"/>
        <v>78910</v>
      </c>
      <c r="AK50" s="7">
        <f t="shared" si="31"/>
        <v>58567</v>
      </c>
      <c r="AL50" s="7">
        <f t="shared" si="31"/>
        <v>65350</v>
      </c>
      <c r="AM50" s="7">
        <f t="shared" si="31"/>
        <v>68752</v>
      </c>
      <c r="AN50" s="7">
        <f t="shared" si="31"/>
        <v>66223</v>
      </c>
      <c r="AO50" s="7">
        <f t="shared" si="31"/>
        <v>103010</v>
      </c>
      <c r="AP50" s="7">
        <f t="shared" si="31"/>
        <v>53586</v>
      </c>
      <c r="AQ50" s="7">
        <f t="shared" si="31"/>
        <v>53473</v>
      </c>
      <c r="AR50" s="7">
        <f t="shared" si="31"/>
        <v>0</v>
      </c>
      <c r="AS50" s="7">
        <f t="shared" si="31"/>
        <v>0</v>
      </c>
    </row>
    <row r="51" spans="1:45" s="5" customFormat="1" x14ac:dyDescent="0.2">
      <c r="A51" s="23" t="s">
        <v>78</v>
      </c>
      <c r="B51" s="4">
        <f>SUM(V51,W51,X51,Y51)</f>
        <v>2957</v>
      </c>
      <c r="C51" s="4">
        <f>SUM(Z51:AC51)</f>
        <v>185</v>
      </c>
      <c r="D51" s="4">
        <f>SUM(AD51:AG51)</f>
        <v>1395</v>
      </c>
      <c r="E51" s="4">
        <f>SUM(AH51:AK51)</f>
        <v>2019</v>
      </c>
      <c r="F51" s="4">
        <f>SUM(AL51:AO51)</f>
        <v>2280</v>
      </c>
      <c r="V51" s="5">
        <v>977</v>
      </c>
      <c r="W51" s="5">
        <v>678</v>
      </c>
      <c r="X51" s="5">
        <v>859</v>
      </c>
      <c r="Y51" s="5">
        <v>443</v>
      </c>
      <c r="Z51" s="5">
        <v>-10</v>
      </c>
      <c r="AA51" s="5">
        <v>102</v>
      </c>
      <c r="AB51" s="5">
        <v>355</v>
      </c>
      <c r="AC51" s="5">
        <v>-262</v>
      </c>
      <c r="AD51" s="5">
        <v>-201</v>
      </c>
      <c r="AE51" s="5">
        <v>902</v>
      </c>
      <c r="AF51" s="5">
        <v>173</v>
      </c>
      <c r="AG51" s="5">
        <v>521</v>
      </c>
      <c r="AH51" s="5">
        <v>66</v>
      </c>
      <c r="AI51" s="5">
        <v>542</v>
      </c>
      <c r="AJ51" s="5">
        <v>951</v>
      </c>
      <c r="AK51" s="5">
        <v>460</v>
      </c>
      <c r="AL51" s="5">
        <v>-124</v>
      </c>
      <c r="AM51" s="5">
        <v>412</v>
      </c>
      <c r="AN51" s="5">
        <v>610</v>
      </c>
      <c r="AO51" s="6">
        <v>1382</v>
      </c>
      <c r="AP51" s="5">
        <v>127</v>
      </c>
      <c r="AQ51" s="5">
        <v>201</v>
      </c>
    </row>
    <row r="52" spans="1:45" x14ac:dyDescent="0.2">
      <c r="A52" s="21" t="s">
        <v>79</v>
      </c>
      <c r="B52" s="7">
        <f>SUM(V52,W52,X52,Y52)</f>
        <v>-81255</v>
      </c>
      <c r="C52" s="7">
        <f>SUM(Z52:AC52)</f>
        <v>-9732</v>
      </c>
      <c r="D52" s="7">
        <f>SUM(AD52:AG52)</f>
        <v>96923</v>
      </c>
      <c r="E52" s="7">
        <f>SUM(AH52:AK52)</f>
        <v>239105</v>
      </c>
      <c r="F52" s="7">
        <f>SUM(AL52:AO52)</f>
        <v>301055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7">
        <f>V50-V51</f>
        <v>12603</v>
      </c>
      <c r="W52" s="7">
        <f>W50-W51</f>
        <v>-33123</v>
      </c>
      <c r="X52" s="7">
        <f t="shared" ref="X52:AS52" si="32">X50-X51</f>
        <v>-1869</v>
      </c>
      <c r="Y52" s="7">
        <f t="shared" si="32"/>
        <v>-58866</v>
      </c>
      <c r="Z52" s="7">
        <f t="shared" si="32"/>
        <v>906</v>
      </c>
      <c r="AA52" s="7">
        <f t="shared" si="32"/>
        <v>-36967</v>
      </c>
      <c r="AB52" s="7">
        <f t="shared" si="32"/>
        <v>4117</v>
      </c>
      <c r="AC52" s="7">
        <f t="shared" si="32"/>
        <v>22212</v>
      </c>
      <c r="AD52" s="7">
        <f t="shared" si="32"/>
        <v>-11836</v>
      </c>
      <c r="AE52" s="7">
        <f t="shared" si="32"/>
        <v>24201</v>
      </c>
      <c r="AF52" s="7">
        <f t="shared" si="32"/>
        <v>40172</v>
      </c>
      <c r="AG52" s="7">
        <f t="shared" si="32"/>
        <v>44386</v>
      </c>
      <c r="AH52" s="7">
        <f t="shared" si="32"/>
        <v>51721</v>
      </c>
      <c r="AI52" s="7">
        <f t="shared" si="32"/>
        <v>51318</v>
      </c>
      <c r="AJ52" s="7">
        <f t="shared" si="32"/>
        <v>77959</v>
      </c>
      <c r="AK52" s="7">
        <f t="shared" si="32"/>
        <v>58107</v>
      </c>
      <c r="AL52" s="7">
        <f t="shared" si="32"/>
        <v>65474</v>
      </c>
      <c r="AM52" s="7">
        <f t="shared" si="32"/>
        <v>68340</v>
      </c>
      <c r="AN52" s="7">
        <f t="shared" si="32"/>
        <v>65613</v>
      </c>
      <c r="AO52" s="7">
        <f t="shared" si="32"/>
        <v>101628</v>
      </c>
      <c r="AP52" s="7">
        <f t="shared" si="32"/>
        <v>53459</v>
      </c>
      <c r="AQ52" s="7">
        <f t="shared" si="32"/>
        <v>53272</v>
      </c>
      <c r="AR52" s="7">
        <f t="shared" si="32"/>
        <v>0</v>
      </c>
      <c r="AS52" s="7">
        <f t="shared" si="32"/>
        <v>0</v>
      </c>
    </row>
    <row r="53" spans="1:45" x14ac:dyDescent="0.2">
      <c r="A53" s="22" t="s">
        <v>80</v>
      </c>
      <c r="B53" s="8">
        <f>B52/B10</f>
        <v>-4.1005323046550919E-2</v>
      </c>
      <c r="C53" s="8">
        <f>C52/C10</f>
        <v>-5.4200240147385444E-3</v>
      </c>
      <c r="D53" s="8">
        <f>D52/D10</f>
        <v>4.4590324125553853E-2</v>
      </c>
      <c r="E53" s="8">
        <f>E52/E10</f>
        <v>9.7960248881838491E-2</v>
      </c>
      <c r="F53" s="8">
        <f>F52/F10</f>
        <v>0.12717800062014351</v>
      </c>
      <c r="V53" s="8">
        <f>V52/V10</f>
        <v>2.4256410059009883E-2</v>
      </c>
      <c r="W53" s="8">
        <f>W52/W10</f>
        <v>-6.7679174192704722E-2</v>
      </c>
      <c r="X53" s="8">
        <f t="shared" ref="X53:AS53" si="33">X52/X10</f>
        <v>-3.8381842862394212E-3</v>
      </c>
      <c r="Y53" s="8">
        <f t="shared" si="33"/>
        <v>-0.1212139931677364</v>
      </c>
      <c r="Z53" s="8">
        <f t="shared" si="33"/>
        <v>1.9060402119786002E-3</v>
      </c>
      <c r="AA53" s="8">
        <f t="shared" si="33"/>
        <v>-8.5595139413080432E-2</v>
      </c>
      <c r="AB53" s="8">
        <f t="shared" si="33"/>
        <v>9.7823504253195838E-3</v>
      </c>
      <c r="AC53" s="8">
        <f t="shared" si="33"/>
        <v>4.7513214158133525E-2</v>
      </c>
      <c r="AD53" s="8">
        <f t="shared" si="33"/>
        <v>-2.3929577977348175E-2</v>
      </c>
      <c r="AE53" s="8">
        <f t="shared" si="33"/>
        <v>4.4728038885911252E-2</v>
      </c>
      <c r="AF53" s="8">
        <f t="shared" si="33"/>
        <v>7.1636957622705846E-2</v>
      </c>
      <c r="AG53" s="8">
        <f t="shared" si="33"/>
        <v>7.6902419205333583E-2</v>
      </c>
      <c r="AH53" s="8">
        <f t="shared" si="33"/>
        <v>8.5709977098047535E-2</v>
      </c>
      <c r="AI53" s="8">
        <f t="shared" si="33"/>
        <v>8.4256463553390504E-2</v>
      </c>
      <c r="AJ53" s="8">
        <f t="shared" si="33"/>
        <v>0.12666744656859399</v>
      </c>
      <c r="AK53" s="8">
        <f t="shared" si="33"/>
        <v>9.4812225877192985E-2</v>
      </c>
      <c r="AL53" s="8">
        <f t="shared" si="33"/>
        <v>0.10783808311276766</v>
      </c>
      <c r="AM53" s="8">
        <f t="shared" si="33"/>
        <v>0.11263083817186668</v>
      </c>
      <c r="AN53" s="8">
        <f t="shared" si="33"/>
        <v>0.11280980012894906</v>
      </c>
      <c r="AO53" s="8">
        <f t="shared" si="33"/>
        <v>0.17777793327117486</v>
      </c>
      <c r="AP53" s="8">
        <f t="shared" si="33"/>
        <v>9.1074342995185548E-2</v>
      </c>
      <c r="AQ53" s="8">
        <f t="shared" si="33"/>
        <v>9.4638143051543611E-2</v>
      </c>
      <c r="AR53" s="8" t="e">
        <f t="shared" si="33"/>
        <v>#DIV/0!</v>
      </c>
      <c r="AS53" s="8" t="e">
        <f t="shared" si="33"/>
        <v>#DIV/0!</v>
      </c>
    </row>
    <row r="55" spans="1:45" x14ac:dyDescent="0.2">
      <c r="A55" s="23" t="s">
        <v>81</v>
      </c>
      <c r="B55" s="31">
        <f>B52/B58</f>
        <v>-1.8341572425001693</v>
      </c>
      <c r="C55" s="31">
        <f>C52/C58</f>
        <v>-0.2157823551584222</v>
      </c>
      <c r="D55" s="31">
        <f>D52/D58</f>
        <v>2.1338808040333768</v>
      </c>
      <c r="E55" s="31">
        <f>E52/E58</f>
        <v>5.270344736378064</v>
      </c>
      <c r="F55" s="31">
        <f>F52/F58</f>
        <v>6.6177569682581554</v>
      </c>
      <c r="G55" s="31"/>
      <c r="V55" s="9">
        <f>V52/V58</f>
        <v>0.30349660453691663</v>
      </c>
      <c r="W55" s="9">
        <f>W52/W58</f>
        <v>-0.73375127375836247</v>
      </c>
      <c r="X55" s="9">
        <f t="shared" ref="X55:AS55" si="34">X52/X58</f>
        <v>-4.1312997347480104E-2</v>
      </c>
      <c r="Y55" s="9">
        <f t="shared" si="34"/>
        <v>-1.3010210847367722</v>
      </c>
      <c r="Z55" s="9">
        <f t="shared" si="34"/>
        <v>2.0125283220045316E-2</v>
      </c>
      <c r="AA55" s="9">
        <f t="shared" si="34"/>
        <v>-0.82028580304442378</v>
      </c>
      <c r="AB55" s="9">
        <f t="shared" si="34"/>
        <v>9.1207160105452045E-2</v>
      </c>
      <c r="AC55" s="9">
        <f t="shared" si="34"/>
        <v>0.49164434803780516</v>
      </c>
      <c r="AD55" s="9">
        <f t="shared" si="34"/>
        <v>-0.2613899869702524</v>
      </c>
      <c r="AE55" s="9">
        <f t="shared" si="34"/>
        <v>0.53265103994717733</v>
      </c>
      <c r="AF55" s="9">
        <f t="shared" si="34"/>
        <v>0.88363908319035678</v>
      </c>
      <c r="AG55" s="9">
        <f t="shared" si="34"/>
        <v>0.97549504406496557</v>
      </c>
      <c r="AH55" s="9">
        <f t="shared" si="34"/>
        <v>1.1329405064400246</v>
      </c>
      <c r="AI55" s="9">
        <f t="shared" si="34"/>
        <v>1.1218275221335665</v>
      </c>
      <c r="AJ55" s="9">
        <f t="shared" si="34"/>
        <v>1.733115468409586</v>
      </c>
      <c r="AK55" s="9">
        <f t="shared" si="34"/>
        <v>1.2884035476718403</v>
      </c>
      <c r="AL55" s="9">
        <f t="shared" si="34"/>
        <v>1.4441307512461952</v>
      </c>
      <c r="AM55" s="9">
        <f t="shared" si="34"/>
        <v>1.4976004207481428</v>
      </c>
      <c r="AN55" s="9">
        <f t="shared" si="34"/>
        <v>1.4342893367726139</v>
      </c>
      <c r="AO55" s="9">
        <f t="shared" si="34"/>
        <v>2.2460219236209333</v>
      </c>
      <c r="AP55" s="9">
        <f t="shared" si="34"/>
        <v>1.1950418026556981</v>
      </c>
      <c r="AQ55" s="9">
        <f t="shared" si="34"/>
        <v>1.2081188343349587</v>
      </c>
      <c r="AR55" s="9" t="e">
        <f t="shared" si="34"/>
        <v>#DIV/0!</v>
      </c>
      <c r="AS55" s="9" t="e">
        <f t="shared" si="34"/>
        <v>#DIV/0!</v>
      </c>
    </row>
    <row r="56" spans="1:45" x14ac:dyDescent="0.2">
      <c r="A56" s="23" t="s">
        <v>82</v>
      </c>
      <c r="B56" s="31">
        <f>B52/B59</f>
        <v>-1.8341572425001693</v>
      </c>
      <c r="C56" s="31">
        <f>C52/C59</f>
        <v>-0.2157823551584222</v>
      </c>
      <c r="D56" s="31">
        <f>D52/D59</f>
        <v>2.1145606073828431</v>
      </c>
      <c r="E56" s="31">
        <f>E52/E59</f>
        <v>5.1768896009699699</v>
      </c>
      <c r="F56" s="31">
        <f>F52/F59</f>
        <v>6.4990393541005549</v>
      </c>
      <c r="G56" s="31"/>
      <c r="V56" s="9">
        <f>V52/V59</f>
        <v>0.30032885330283099</v>
      </c>
      <c r="W56" s="9">
        <f>W52/W59</f>
        <v>-0.73375127375836247</v>
      </c>
      <c r="X56" s="9">
        <f t="shared" ref="X56:AS56" si="35">X52/X59</f>
        <v>-4.1312997347480104E-2</v>
      </c>
      <c r="Y56" s="9">
        <f t="shared" si="35"/>
        <v>-1.3010210847367722</v>
      </c>
      <c r="Z56" s="9">
        <f t="shared" si="35"/>
        <v>2.0026525198938994E-2</v>
      </c>
      <c r="AA56" s="9">
        <f t="shared" si="35"/>
        <v>-0.82028580304442378</v>
      </c>
      <c r="AB56" s="9">
        <f t="shared" si="35"/>
        <v>9.0822854621663354E-2</v>
      </c>
      <c r="AC56" s="9">
        <f t="shared" si="35"/>
        <v>0.48904643431163169</v>
      </c>
      <c r="AD56" s="9">
        <f t="shared" si="35"/>
        <v>-0.2613899869702524</v>
      </c>
      <c r="AE56" s="9">
        <f t="shared" si="35"/>
        <v>0.52862541228894078</v>
      </c>
      <c r="AF56" s="9">
        <f t="shared" si="35"/>
        <v>0.8742546245919478</v>
      </c>
      <c r="AG56" s="9">
        <f t="shared" si="35"/>
        <v>0.96409565802906227</v>
      </c>
      <c r="AH56" s="9">
        <f t="shared" si="35"/>
        <v>1.1157106801561791</v>
      </c>
      <c r="AI56" s="9">
        <f t="shared" si="35"/>
        <v>1.1029961741821777</v>
      </c>
      <c r="AJ56" s="9">
        <f t="shared" si="35"/>
        <v>1.7007133663474334</v>
      </c>
      <c r="AK56" s="9">
        <f t="shared" si="35"/>
        <v>1.2622078373446868</v>
      </c>
      <c r="AL56" s="9">
        <f t="shared" si="35"/>
        <v>1.4180455687429612</v>
      </c>
      <c r="AM56" s="9">
        <f t="shared" si="35"/>
        <v>1.4734799482535577</v>
      </c>
      <c r="AN56" s="9">
        <f t="shared" si="35"/>
        <v>1.4061937419631376</v>
      </c>
      <c r="AO56" s="9">
        <f t="shared" si="35"/>
        <v>2.2054687500000001</v>
      </c>
      <c r="AP56" s="9">
        <f t="shared" si="35"/>
        <v>1.1756982625907191</v>
      </c>
      <c r="AQ56" s="9">
        <f t="shared" si="35"/>
        <v>1.1942252510760403</v>
      </c>
      <c r="AR56" s="9" t="e">
        <f t="shared" si="35"/>
        <v>#DIV/0!</v>
      </c>
      <c r="AS56" s="9" t="e">
        <f t="shared" si="35"/>
        <v>#DIV/0!</v>
      </c>
    </row>
    <row r="58" spans="1:45" s="5" customFormat="1" x14ac:dyDescent="0.2">
      <c r="A58" s="23" t="s">
        <v>83</v>
      </c>
      <c r="B58" s="6">
        <v>44301</v>
      </c>
      <c r="C58" s="6">
        <v>45101</v>
      </c>
      <c r="D58" s="6">
        <v>45421</v>
      </c>
      <c r="E58" s="6">
        <v>45368</v>
      </c>
      <c r="F58" s="6">
        <v>45492</v>
      </c>
      <c r="V58" s="6">
        <v>41526</v>
      </c>
      <c r="W58" s="6">
        <v>45142</v>
      </c>
      <c r="X58" s="6">
        <v>45240</v>
      </c>
      <c r="Y58" s="6">
        <v>45246</v>
      </c>
      <c r="Z58" s="6">
        <v>45018</v>
      </c>
      <c r="AA58" s="6">
        <v>45066</v>
      </c>
      <c r="AB58" s="6">
        <v>45139</v>
      </c>
      <c r="AC58" s="6">
        <v>45179</v>
      </c>
      <c r="AD58" s="6">
        <v>45281</v>
      </c>
      <c r="AE58" s="6">
        <v>45435</v>
      </c>
      <c r="AF58" s="6">
        <v>45462</v>
      </c>
      <c r="AG58" s="6">
        <v>45501</v>
      </c>
      <c r="AH58" s="6">
        <v>45652</v>
      </c>
      <c r="AI58" s="6">
        <v>45745</v>
      </c>
      <c r="AJ58" s="6">
        <v>44982</v>
      </c>
      <c r="AK58" s="6">
        <v>45100</v>
      </c>
      <c r="AL58" s="6">
        <v>45338</v>
      </c>
      <c r="AM58" s="6">
        <v>45633</v>
      </c>
      <c r="AN58" s="6">
        <v>45746</v>
      </c>
      <c r="AO58" s="6">
        <v>45248</v>
      </c>
      <c r="AP58" s="6">
        <v>44734</v>
      </c>
      <c r="AQ58" s="6">
        <v>44095</v>
      </c>
    </row>
    <row r="59" spans="1:45" s="5" customFormat="1" x14ac:dyDescent="0.2">
      <c r="A59" s="23" t="s">
        <v>84</v>
      </c>
      <c r="B59" s="6">
        <v>44301</v>
      </c>
      <c r="C59" s="6">
        <v>45101</v>
      </c>
      <c r="D59" s="6">
        <v>45836</v>
      </c>
      <c r="E59" s="6">
        <v>46187</v>
      </c>
      <c r="F59" s="6">
        <v>46323</v>
      </c>
      <c r="V59" s="6">
        <v>41964</v>
      </c>
      <c r="W59" s="6">
        <v>45142</v>
      </c>
      <c r="X59" s="6">
        <v>45240</v>
      </c>
      <c r="Y59" s="6">
        <v>45246</v>
      </c>
      <c r="Z59" s="6">
        <v>45240</v>
      </c>
      <c r="AA59" s="6">
        <v>45066</v>
      </c>
      <c r="AB59" s="6">
        <v>45330</v>
      </c>
      <c r="AC59" s="6">
        <v>45419</v>
      </c>
      <c r="AD59" s="6">
        <v>45281</v>
      </c>
      <c r="AE59" s="6">
        <v>45781</v>
      </c>
      <c r="AF59" s="6">
        <v>45950</v>
      </c>
      <c r="AG59" s="6">
        <v>46039</v>
      </c>
      <c r="AH59" s="6">
        <v>46357</v>
      </c>
      <c r="AI59" s="6">
        <v>46526</v>
      </c>
      <c r="AJ59" s="6">
        <v>45839</v>
      </c>
      <c r="AK59" s="6">
        <v>46036</v>
      </c>
      <c r="AL59" s="6">
        <v>46172</v>
      </c>
      <c r="AM59" s="6">
        <v>46380</v>
      </c>
      <c r="AN59" s="6">
        <v>46660</v>
      </c>
      <c r="AO59" s="6">
        <v>46080</v>
      </c>
      <c r="AP59" s="6">
        <v>45470</v>
      </c>
      <c r="AQ59" s="6">
        <v>44608</v>
      </c>
    </row>
    <row r="62" spans="1:45" ht="16" x14ac:dyDescent="0.2">
      <c r="A62" s="17" t="s">
        <v>85</v>
      </c>
      <c r="B62" s="1"/>
      <c r="C62" s="1"/>
      <c r="D62" s="3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">
      <c r="B63" s="2" t="s">
        <v>3</v>
      </c>
      <c r="C63" s="2" t="s">
        <v>4</v>
      </c>
      <c r="D63" s="39" t="s">
        <v>5</v>
      </c>
      <c r="E63" s="2" t="s">
        <v>6</v>
      </c>
      <c r="F63" s="2" t="s">
        <v>7</v>
      </c>
      <c r="G63" s="2" t="s">
        <v>8</v>
      </c>
      <c r="I63" s="2" t="s">
        <v>9</v>
      </c>
      <c r="J63" s="2" t="s">
        <v>10</v>
      </c>
      <c r="K63" s="2" t="s">
        <v>11</v>
      </c>
      <c r="L63" s="2" t="s">
        <v>12</v>
      </c>
      <c r="M63" s="2" t="s">
        <v>13</v>
      </c>
      <c r="N63" s="2" t="s">
        <v>14</v>
      </c>
      <c r="O63" s="2" t="s">
        <v>15</v>
      </c>
      <c r="P63" s="2" t="s">
        <v>16</v>
      </c>
      <c r="Q63" s="2" t="s">
        <v>17</v>
      </c>
      <c r="R63" s="2" t="s">
        <v>18</v>
      </c>
      <c r="S63" s="2" t="s">
        <v>19</v>
      </c>
      <c r="T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  <c r="AO63" s="2" t="s">
        <v>40</v>
      </c>
      <c r="AP63" s="2" t="s">
        <v>41</v>
      </c>
      <c r="AQ63" s="2" t="s">
        <v>42</v>
      </c>
      <c r="AR63" s="2" t="s">
        <v>43</v>
      </c>
      <c r="AS63" s="2" t="s">
        <v>44</v>
      </c>
    </row>
    <row r="65" spans="1:45" x14ac:dyDescent="0.2">
      <c r="A65" s="19" t="s">
        <v>86</v>
      </c>
    </row>
    <row r="66" spans="1:45" x14ac:dyDescent="0.2">
      <c r="A66" s="19" t="s">
        <v>87</v>
      </c>
    </row>
    <row r="67" spans="1:45" s="5" customFormat="1" x14ac:dyDescent="0.2">
      <c r="A67" s="23" t="s">
        <v>88</v>
      </c>
      <c r="B67" s="4">
        <f t="shared" ref="B67:B74" si="36">Y67</f>
        <v>162579</v>
      </c>
      <c r="C67" s="4">
        <f t="shared" ref="C67:C73" si="37">AC67</f>
        <v>202007</v>
      </c>
      <c r="D67" s="4">
        <f>AG67</f>
        <v>302049</v>
      </c>
      <c r="E67" s="4">
        <f>AK67</f>
        <v>1051237</v>
      </c>
      <c r="F67" s="4">
        <f>AO67</f>
        <v>1020397</v>
      </c>
      <c r="V67" s="6">
        <v>574592</v>
      </c>
      <c r="W67" s="6">
        <v>207131</v>
      </c>
      <c r="X67" s="6">
        <v>188691</v>
      </c>
      <c r="Y67" s="6">
        <v>162579</v>
      </c>
      <c r="Z67" s="6">
        <v>203997</v>
      </c>
      <c r="AA67" s="6">
        <v>208500</v>
      </c>
      <c r="AB67" s="6">
        <v>215413</v>
      </c>
      <c r="AC67" s="6">
        <v>202007</v>
      </c>
      <c r="AD67" s="6">
        <v>196013</v>
      </c>
      <c r="AE67" s="6">
        <v>232787</v>
      </c>
      <c r="AF67" s="6">
        <v>254771</v>
      </c>
      <c r="AG67" s="6">
        <v>302049</v>
      </c>
      <c r="AH67" s="6">
        <v>300606</v>
      </c>
      <c r="AI67" s="6">
        <v>920639</v>
      </c>
      <c r="AJ67" s="6">
        <v>982507</v>
      </c>
      <c r="AK67" s="6">
        <v>1051237</v>
      </c>
      <c r="AL67" s="6">
        <v>1123267</v>
      </c>
      <c r="AM67" s="6">
        <v>1224257</v>
      </c>
      <c r="AN67" s="6">
        <v>1331944</v>
      </c>
      <c r="AO67" s="6">
        <v>1020397</v>
      </c>
      <c r="AP67" s="6">
        <v>712850</v>
      </c>
      <c r="AQ67" s="6">
        <v>745229</v>
      </c>
    </row>
    <row r="68" spans="1:45" s="5" customFormat="1" x14ac:dyDescent="0.2">
      <c r="A68" s="23" t="s">
        <v>89</v>
      </c>
      <c r="B68" s="4">
        <f t="shared" si="36"/>
        <v>298459</v>
      </c>
      <c r="C68" s="4">
        <f t="shared" si="37"/>
        <v>280435</v>
      </c>
      <c r="D68" s="4">
        <f t="shared" ref="D68:D74" si="38">AG68</f>
        <v>303821</v>
      </c>
      <c r="E68" s="4">
        <f t="shared" ref="E68:E74" si="39">AK68</f>
        <v>350473</v>
      </c>
      <c r="F68" s="4">
        <f t="shared" ref="F68:F74" si="40">AO68</f>
        <v>367794</v>
      </c>
      <c r="V68" s="6">
        <v>365826</v>
      </c>
      <c r="W68" s="6">
        <v>336071</v>
      </c>
      <c r="X68" s="6">
        <v>320994</v>
      </c>
      <c r="Y68" s="6">
        <v>298459</v>
      </c>
      <c r="Z68" s="6">
        <v>303250</v>
      </c>
      <c r="AA68" s="6">
        <v>259657</v>
      </c>
      <c r="AB68" s="6">
        <v>266669</v>
      </c>
      <c r="AC68" s="6">
        <v>280435</v>
      </c>
      <c r="AD68" s="6">
        <v>305275</v>
      </c>
      <c r="AE68" s="6">
        <v>318809</v>
      </c>
      <c r="AF68" s="6">
        <v>318104</v>
      </c>
      <c r="AG68" s="6">
        <v>303821</v>
      </c>
      <c r="AH68" s="6">
        <v>339948</v>
      </c>
      <c r="AI68" s="6">
        <v>316742</v>
      </c>
      <c r="AJ68" s="6">
        <v>338769</v>
      </c>
      <c r="AK68" s="6">
        <v>350473</v>
      </c>
      <c r="AL68" s="6">
        <v>346599</v>
      </c>
      <c r="AM68" s="6">
        <v>340321</v>
      </c>
      <c r="AN68" s="6">
        <v>369511</v>
      </c>
      <c r="AO68" s="6">
        <v>367794</v>
      </c>
      <c r="AP68" s="6">
        <v>393170</v>
      </c>
      <c r="AQ68" s="6">
        <v>351109</v>
      </c>
    </row>
    <row r="69" spans="1:45" s="5" customFormat="1" x14ac:dyDescent="0.2">
      <c r="A69" s="23" t="s">
        <v>90</v>
      </c>
      <c r="B69" s="4">
        <f t="shared" si="36"/>
        <v>165799</v>
      </c>
      <c r="C69" s="4">
        <f t="shared" si="37"/>
        <v>228701</v>
      </c>
      <c r="D69" s="4">
        <f t="shared" si="38"/>
        <v>283686</v>
      </c>
      <c r="E69" s="4">
        <f t="shared" si="39"/>
        <v>270725</v>
      </c>
      <c r="F69" s="4">
        <f t="shared" si="40"/>
        <v>242886</v>
      </c>
      <c r="V69" s="6">
        <v>169412</v>
      </c>
      <c r="W69" s="6">
        <v>179347</v>
      </c>
      <c r="X69" s="6">
        <v>175432</v>
      </c>
      <c r="Y69" s="6">
        <v>165799</v>
      </c>
      <c r="Z69" s="6">
        <v>171259</v>
      </c>
      <c r="AA69" s="6">
        <v>174522</v>
      </c>
      <c r="AB69" s="6">
        <v>203612</v>
      </c>
      <c r="AC69" s="6">
        <v>228701</v>
      </c>
      <c r="AD69" s="6">
        <v>265122</v>
      </c>
      <c r="AE69" s="6">
        <v>267042</v>
      </c>
      <c r="AF69" s="6">
        <v>276099</v>
      </c>
      <c r="AG69" s="6">
        <v>283686</v>
      </c>
      <c r="AH69" s="6">
        <v>287220</v>
      </c>
      <c r="AI69" s="6">
        <v>291781</v>
      </c>
      <c r="AJ69" s="6">
        <v>276616</v>
      </c>
      <c r="AK69" s="6">
        <v>270725</v>
      </c>
      <c r="AL69" s="6">
        <v>281878</v>
      </c>
      <c r="AM69" s="6">
        <v>283297</v>
      </c>
      <c r="AN69" s="6">
        <v>255278</v>
      </c>
      <c r="AO69" s="6">
        <v>242886</v>
      </c>
      <c r="AP69" s="6">
        <v>239892</v>
      </c>
      <c r="AQ69" s="6">
        <v>258727</v>
      </c>
    </row>
    <row r="70" spans="1:45" s="5" customFormat="1" x14ac:dyDescent="0.2">
      <c r="A70" s="23" t="s">
        <v>266</v>
      </c>
      <c r="B70" s="4">
        <f t="shared" si="36"/>
        <v>122434</v>
      </c>
      <c r="C70" s="4">
        <f t="shared" si="37"/>
        <v>182118</v>
      </c>
      <c r="D70" s="4">
        <f t="shared" si="38"/>
        <v>213303</v>
      </c>
      <c r="E70" s="4">
        <f t="shared" si="39"/>
        <v>198995</v>
      </c>
      <c r="F70" s="4">
        <f t="shared" si="40"/>
        <v>184727</v>
      </c>
      <c r="V70" s="6">
        <v>109314</v>
      </c>
      <c r="W70" s="6">
        <v>117794</v>
      </c>
      <c r="X70" s="6">
        <v>117549</v>
      </c>
      <c r="Y70" s="6">
        <v>122434</v>
      </c>
      <c r="Z70" s="6">
        <v>128432</v>
      </c>
      <c r="AA70" s="6">
        <v>138519</v>
      </c>
      <c r="AB70" s="6">
        <v>160000</v>
      </c>
      <c r="AC70" s="6">
        <v>182118</v>
      </c>
      <c r="AD70" s="6">
        <v>215203</v>
      </c>
      <c r="AE70" s="6">
        <v>217508</v>
      </c>
      <c r="AF70" s="6">
        <v>216316</v>
      </c>
      <c r="AG70" s="6">
        <v>213303</v>
      </c>
      <c r="AH70" s="6">
        <v>209937</v>
      </c>
      <c r="AI70" s="6">
        <v>201690</v>
      </c>
      <c r="AJ70" s="6">
        <v>195045</v>
      </c>
      <c r="AK70" s="6">
        <v>198995</v>
      </c>
      <c r="AL70" s="6">
        <v>205943</v>
      </c>
      <c r="AM70" s="6">
        <v>222618</v>
      </c>
      <c r="AN70" s="6">
        <v>199452</v>
      </c>
      <c r="AO70" s="6">
        <v>184727</v>
      </c>
      <c r="AP70" s="6">
        <v>184087</v>
      </c>
      <c r="AQ70" s="6">
        <v>200429</v>
      </c>
    </row>
    <row r="71" spans="1:45" s="5" customFormat="1" x14ac:dyDescent="0.2">
      <c r="A71" s="23" t="s">
        <v>267</v>
      </c>
      <c r="B71" s="4">
        <f t="shared" si="36"/>
        <v>7856</v>
      </c>
      <c r="C71" s="4">
        <f t="shared" si="37"/>
        <v>8386</v>
      </c>
      <c r="D71" s="4">
        <f t="shared" si="38"/>
        <v>17849</v>
      </c>
      <c r="E71" s="4">
        <f t="shared" si="39"/>
        <v>16679</v>
      </c>
      <c r="F71" s="4">
        <f t="shared" si="40"/>
        <v>13542</v>
      </c>
      <c r="V71" s="6">
        <v>9287</v>
      </c>
      <c r="W71" s="6">
        <v>9385</v>
      </c>
      <c r="X71" s="6">
        <v>8539</v>
      </c>
      <c r="Y71" s="6">
        <v>7856</v>
      </c>
      <c r="Z71" s="6">
        <v>7460</v>
      </c>
      <c r="AA71" s="6">
        <v>6272</v>
      </c>
      <c r="AB71" s="6">
        <v>8359</v>
      </c>
      <c r="AC71" s="6">
        <v>8386</v>
      </c>
      <c r="AD71" s="6">
        <v>9239</v>
      </c>
      <c r="AE71" s="6">
        <v>11120</v>
      </c>
      <c r="AF71" s="6">
        <v>12606</v>
      </c>
      <c r="AG71" s="6">
        <v>17849</v>
      </c>
      <c r="AH71" s="6">
        <v>13976</v>
      </c>
      <c r="AI71" s="6">
        <v>14620</v>
      </c>
      <c r="AJ71" s="6">
        <v>15182</v>
      </c>
      <c r="AK71" s="6">
        <v>16679</v>
      </c>
      <c r="AL71" s="6">
        <v>16299</v>
      </c>
      <c r="AM71" s="6">
        <v>15470</v>
      </c>
      <c r="AN71" s="6">
        <v>15249</v>
      </c>
      <c r="AO71" s="6">
        <v>13542</v>
      </c>
      <c r="AP71" s="6">
        <v>11711</v>
      </c>
      <c r="AQ71" s="6">
        <v>12930</v>
      </c>
    </row>
    <row r="72" spans="1:45" s="5" customFormat="1" x14ac:dyDescent="0.2">
      <c r="A72" s="23" t="s">
        <v>268</v>
      </c>
      <c r="B72" s="4">
        <f t="shared" si="36"/>
        <v>35509</v>
      </c>
      <c r="C72" s="4">
        <f t="shared" si="37"/>
        <v>38197</v>
      </c>
      <c r="D72" s="4">
        <f t="shared" si="38"/>
        <v>52534</v>
      </c>
      <c r="E72" s="4">
        <f t="shared" si="39"/>
        <v>55051</v>
      </c>
      <c r="F72" s="4">
        <f t="shared" si="40"/>
        <v>44617</v>
      </c>
      <c r="V72" s="6">
        <v>50811</v>
      </c>
      <c r="W72" s="6">
        <v>52168</v>
      </c>
      <c r="X72" s="6">
        <v>49344</v>
      </c>
      <c r="Y72" s="6">
        <v>35509</v>
      </c>
      <c r="Z72" s="6">
        <v>35367</v>
      </c>
      <c r="AA72" s="6">
        <v>29731</v>
      </c>
      <c r="AB72" s="6">
        <v>35253</v>
      </c>
      <c r="AC72" s="6">
        <v>38197</v>
      </c>
      <c r="AD72" s="6">
        <v>40680</v>
      </c>
      <c r="AE72" s="6">
        <v>38414</v>
      </c>
      <c r="AF72" s="6">
        <v>47177</v>
      </c>
      <c r="AG72" s="6">
        <v>52534</v>
      </c>
      <c r="AH72" s="6">
        <v>63307</v>
      </c>
      <c r="AI72" s="6">
        <v>75471</v>
      </c>
      <c r="AJ72" s="6">
        <v>66389</v>
      </c>
      <c r="AK72" s="6">
        <v>55051</v>
      </c>
      <c r="AL72" s="6">
        <v>59636</v>
      </c>
      <c r="AM72" s="6">
        <v>45209</v>
      </c>
      <c r="AN72" s="6">
        <v>40577</v>
      </c>
      <c r="AO72" s="6">
        <v>44617</v>
      </c>
      <c r="AP72" s="6">
        <v>44094</v>
      </c>
      <c r="AQ72" s="6">
        <v>45368</v>
      </c>
    </row>
    <row r="73" spans="1:45" s="5" customFormat="1" x14ac:dyDescent="0.2">
      <c r="A73" s="23" t="s">
        <v>91</v>
      </c>
      <c r="B73" s="4">
        <f t="shared" si="36"/>
        <v>123092</v>
      </c>
      <c r="C73" s="4">
        <f t="shared" si="37"/>
        <v>118441</v>
      </c>
      <c r="D73" s="4">
        <f t="shared" si="38"/>
        <v>159882</v>
      </c>
      <c r="E73" s="4">
        <f t="shared" si="39"/>
        <v>143457</v>
      </c>
      <c r="F73" s="4">
        <f t="shared" si="40"/>
        <v>191241</v>
      </c>
      <c r="V73" s="6">
        <v>150271</v>
      </c>
      <c r="W73" s="6">
        <v>120351</v>
      </c>
      <c r="X73" s="6">
        <v>117270</v>
      </c>
      <c r="Y73" s="6">
        <v>123092</v>
      </c>
      <c r="Z73" s="6">
        <v>114021</v>
      </c>
      <c r="AA73" s="6">
        <v>113409</v>
      </c>
      <c r="AB73" s="6">
        <v>122948</v>
      </c>
      <c r="AC73" s="6">
        <v>118441</v>
      </c>
      <c r="AD73" s="6">
        <v>135646</v>
      </c>
      <c r="AE73" s="6">
        <v>151349</v>
      </c>
      <c r="AF73" s="6">
        <v>160768</v>
      </c>
      <c r="AG73" s="6">
        <v>159882</v>
      </c>
      <c r="AH73" s="6">
        <v>169323</v>
      </c>
      <c r="AI73" s="6">
        <v>160293</v>
      </c>
      <c r="AJ73" s="6">
        <v>156642</v>
      </c>
      <c r="AK73" s="6">
        <v>143457</v>
      </c>
      <c r="AL73" s="6">
        <v>150784</v>
      </c>
      <c r="AM73" s="6">
        <v>140998</v>
      </c>
      <c r="AN73" s="6">
        <v>187298</v>
      </c>
      <c r="AO73" s="6">
        <v>191241</v>
      </c>
      <c r="AP73" s="6">
        <v>178769</v>
      </c>
      <c r="AQ73" s="6">
        <v>194456</v>
      </c>
    </row>
    <row r="74" spans="1:45" x14ac:dyDescent="0.2">
      <c r="A74" s="21" t="s">
        <v>92</v>
      </c>
      <c r="B74" s="7">
        <f t="shared" si="36"/>
        <v>749929</v>
      </c>
      <c r="C74" s="7">
        <f t="shared" ref="C74" si="41">AC74</f>
        <v>829584</v>
      </c>
      <c r="D74" s="7">
        <f t="shared" si="38"/>
        <v>1049438</v>
      </c>
      <c r="E74" s="7">
        <f t="shared" si="39"/>
        <v>1815892</v>
      </c>
      <c r="F74" s="7">
        <f t="shared" si="40"/>
        <v>1822318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7">
        <f>SUM(V67:V69,V73)</f>
        <v>1260101</v>
      </c>
      <c r="W74" s="7">
        <f t="shared" ref="W74:AS74" si="42">SUM(W67:W69,W73)</f>
        <v>842900</v>
      </c>
      <c r="X74" s="7">
        <f t="shared" si="42"/>
        <v>802387</v>
      </c>
      <c r="Y74" s="7">
        <f t="shared" si="42"/>
        <v>749929</v>
      </c>
      <c r="Z74" s="7">
        <f t="shared" si="42"/>
        <v>792527</v>
      </c>
      <c r="AA74" s="7">
        <f t="shared" si="42"/>
        <v>756088</v>
      </c>
      <c r="AB74" s="7">
        <f t="shared" si="42"/>
        <v>808642</v>
      </c>
      <c r="AC74" s="7">
        <f t="shared" si="42"/>
        <v>829584</v>
      </c>
      <c r="AD74" s="7">
        <f t="shared" si="42"/>
        <v>902056</v>
      </c>
      <c r="AE74" s="7">
        <f t="shared" si="42"/>
        <v>969987</v>
      </c>
      <c r="AF74" s="7">
        <f t="shared" si="42"/>
        <v>1009742</v>
      </c>
      <c r="AG74" s="7">
        <f t="shared" si="42"/>
        <v>1049438</v>
      </c>
      <c r="AH74" s="7">
        <f t="shared" si="42"/>
        <v>1097097</v>
      </c>
      <c r="AI74" s="7">
        <f t="shared" si="42"/>
        <v>1689455</v>
      </c>
      <c r="AJ74" s="7">
        <f t="shared" si="42"/>
        <v>1754534</v>
      </c>
      <c r="AK74" s="7">
        <f t="shared" si="42"/>
        <v>1815892</v>
      </c>
      <c r="AL74" s="7">
        <f t="shared" si="42"/>
        <v>1902528</v>
      </c>
      <c r="AM74" s="7">
        <f t="shared" si="42"/>
        <v>1988873</v>
      </c>
      <c r="AN74" s="7">
        <f t="shared" si="42"/>
        <v>2144031</v>
      </c>
      <c r="AO74" s="7">
        <f t="shared" si="42"/>
        <v>1822318</v>
      </c>
      <c r="AP74" s="7">
        <f t="shared" si="42"/>
        <v>1524681</v>
      </c>
      <c r="AQ74" s="7">
        <f t="shared" si="42"/>
        <v>1549521</v>
      </c>
      <c r="AR74" s="7">
        <f t="shared" si="42"/>
        <v>0</v>
      </c>
      <c r="AS74" s="7">
        <f t="shared" si="42"/>
        <v>0</v>
      </c>
    </row>
    <row r="76" spans="1:45" s="5" customFormat="1" x14ac:dyDescent="0.2">
      <c r="A76" s="23" t="s">
        <v>93</v>
      </c>
      <c r="B76" s="4">
        <f t="shared" ref="B76:B81" si="43">Y76</f>
        <v>163184</v>
      </c>
      <c r="C76" s="4">
        <f t="shared" ref="C76:C82" si="44">AC76</f>
        <v>140123</v>
      </c>
      <c r="D76" s="4">
        <f t="shared" ref="D76:D82" si="45">AG76</f>
        <v>128806</v>
      </c>
      <c r="E76" s="4">
        <f t="shared" ref="E76:E82" si="46">AK76</f>
        <v>115428</v>
      </c>
      <c r="F76" s="4">
        <f t="shared" ref="F76:F81" si="47">AO76</f>
        <v>112193</v>
      </c>
      <c r="V76" s="6">
        <v>199650</v>
      </c>
      <c r="W76" s="6">
        <v>196209</v>
      </c>
      <c r="X76" s="6">
        <v>189748</v>
      </c>
      <c r="Y76" s="6">
        <v>163184</v>
      </c>
      <c r="Z76" s="6">
        <v>157244</v>
      </c>
      <c r="AA76" s="6">
        <v>150663</v>
      </c>
      <c r="AB76" s="6">
        <v>138768</v>
      </c>
      <c r="AC76" s="6">
        <v>140123</v>
      </c>
      <c r="AD76" s="6">
        <v>136397</v>
      </c>
      <c r="AE76" s="6">
        <v>132648</v>
      </c>
      <c r="AF76" s="6">
        <v>129714</v>
      </c>
      <c r="AG76" s="6">
        <v>128806</v>
      </c>
      <c r="AH76" s="6">
        <v>124979</v>
      </c>
      <c r="AI76" s="6">
        <v>122026</v>
      </c>
      <c r="AJ76" s="6">
        <v>120449</v>
      </c>
      <c r="AK76" s="6">
        <v>115428</v>
      </c>
      <c r="AL76" s="6">
        <v>112453</v>
      </c>
      <c r="AM76" s="6">
        <v>115595</v>
      </c>
      <c r="AN76" s="6">
        <v>111989</v>
      </c>
      <c r="AO76" s="6">
        <v>112193</v>
      </c>
      <c r="AP76" s="6">
        <v>122226</v>
      </c>
      <c r="AQ76" s="6">
        <v>121590</v>
      </c>
    </row>
    <row r="77" spans="1:45" s="5" customFormat="1" x14ac:dyDescent="0.2">
      <c r="A77" s="23" t="s">
        <v>94</v>
      </c>
      <c r="B77" s="4">
        <f t="shared" si="43"/>
        <v>181472</v>
      </c>
      <c r="C77" s="4">
        <f t="shared" si="44"/>
        <v>211982</v>
      </c>
      <c r="D77" s="4">
        <f t="shared" si="45"/>
        <v>247211</v>
      </c>
      <c r="E77" s="4">
        <f t="shared" si="46"/>
        <v>310280</v>
      </c>
      <c r="F77" s="4">
        <f t="shared" si="47"/>
        <v>265183</v>
      </c>
      <c r="V77" s="6">
        <v>94620</v>
      </c>
      <c r="W77" s="6">
        <v>99297</v>
      </c>
      <c r="X77" s="6">
        <v>101907</v>
      </c>
      <c r="Y77" s="6">
        <v>181472</v>
      </c>
      <c r="Z77" s="6">
        <v>186133</v>
      </c>
      <c r="AA77" s="6">
        <v>187178</v>
      </c>
      <c r="AB77" s="6">
        <v>188728</v>
      </c>
      <c r="AC77" s="6">
        <v>211982</v>
      </c>
      <c r="AD77" s="6">
        <v>215745</v>
      </c>
      <c r="AE77" s="6">
        <v>213777</v>
      </c>
      <c r="AF77" s="6">
        <v>209153</v>
      </c>
      <c r="AG77" s="6">
        <v>247211</v>
      </c>
      <c r="AH77" s="6">
        <v>249694</v>
      </c>
      <c r="AI77" s="6">
        <v>283697</v>
      </c>
      <c r="AJ77" s="6">
        <v>290259</v>
      </c>
      <c r="AK77" s="6">
        <v>310280</v>
      </c>
      <c r="AL77" s="6">
        <v>315180</v>
      </c>
      <c r="AM77" s="6">
        <v>318595</v>
      </c>
      <c r="AN77" s="6">
        <v>259962</v>
      </c>
      <c r="AO77" s="6">
        <v>265183</v>
      </c>
      <c r="AP77" s="6">
        <v>257627</v>
      </c>
      <c r="AQ77" s="6">
        <v>271513</v>
      </c>
    </row>
    <row r="78" spans="1:45" s="5" customFormat="1" x14ac:dyDescent="0.2">
      <c r="A78" s="23" t="s">
        <v>95</v>
      </c>
      <c r="B78" s="4">
        <f t="shared" si="43"/>
        <v>42178</v>
      </c>
      <c r="C78" s="4">
        <f t="shared" si="44"/>
        <v>39901</v>
      </c>
      <c r="D78" s="4">
        <f t="shared" si="45"/>
        <v>38836</v>
      </c>
      <c r="E78" s="4">
        <f t="shared" si="46"/>
        <v>41827</v>
      </c>
      <c r="F78" s="4">
        <f t="shared" si="47"/>
        <v>63352</v>
      </c>
      <c r="V78" s="6">
        <v>57599</v>
      </c>
      <c r="W78" s="6">
        <v>41293</v>
      </c>
      <c r="X78" s="6">
        <v>41666</v>
      </c>
      <c r="Y78" s="6">
        <v>42178</v>
      </c>
      <c r="Z78" s="6">
        <v>43883</v>
      </c>
      <c r="AA78" s="6">
        <v>41395</v>
      </c>
      <c r="AB78" s="6">
        <v>44433</v>
      </c>
      <c r="AC78" s="6">
        <v>39901</v>
      </c>
      <c r="AD78" s="6">
        <v>37857</v>
      </c>
      <c r="AE78" s="6">
        <v>35447</v>
      </c>
      <c r="AF78" s="6">
        <v>35348</v>
      </c>
      <c r="AG78" s="6">
        <v>38836</v>
      </c>
      <c r="AH78" s="6">
        <v>42397</v>
      </c>
      <c r="AI78" s="6">
        <v>38506</v>
      </c>
      <c r="AJ78" s="6">
        <v>40804</v>
      </c>
      <c r="AK78" s="6">
        <v>41827</v>
      </c>
      <c r="AL78" s="6">
        <v>44342</v>
      </c>
      <c r="AM78" s="6">
        <v>42460</v>
      </c>
      <c r="AN78" s="6">
        <v>44212</v>
      </c>
      <c r="AO78" s="6">
        <v>63352</v>
      </c>
      <c r="AP78" s="6">
        <v>64928</v>
      </c>
      <c r="AQ78" s="6">
        <v>60694</v>
      </c>
    </row>
    <row r="79" spans="1:45" s="5" customFormat="1" x14ac:dyDescent="0.2">
      <c r="A79" s="23" t="s">
        <v>96</v>
      </c>
      <c r="B79" s="4">
        <f t="shared" si="43"/>
        <v>65523</v>
      </c>
      <c r="C79" s="4">
        <f t="shared" si="44"/>
        <v>52826</v>
      </c>
      <c r="D79" s="4">
        <f t="shared" si="45"/>
        <v>41186</v>
      </c>
      <c r="E79" s="4">
        <f t="shared" si="46"/>
        <v>28957</v>
      </c>
      <c r="F79" s="4">
        <f t="shared" si="47"/>
        <v>29341</v>
      </c>
      <c r="V79" s="6">
        <v>74815</v>
      </c>
      <c r="W79" s="6">
        <v>72059</v>
      </c>
      <c r="X79" s="6">
        <v>67599</v>
      </c>
      <c r="Y79" s="6">
        <v>65523</v>
      </c>
      <c r="Z79" s="6">
        <v>62627</v>
      </c>
      <c r="AA79" s="6">
        <v>58083</v>
      </c>
      <c r="AB79" s="6">
        <v>54814</v>
      </c>
      <c r="AC79" s="6">
        <v>52826</v>
      </c>
      <c r="AD79" s="6">
        <v>49147</v>
      </c>
      <c r="AE79" s="6">
        <v>44642</v>
      </c>
      <c r="AF79" s="6">
        <v>41285</v>
      </c>
      <c r="AG79" s="6">
        <v>41186</v>
      </c>
      <c r="AH79" s="6">
        <v>40998</v>
      </c>
      <c r="AI79" s="6">
        <v>37619</v>
      </c>
      <c r="AJ79" s="6">
        <v>37641</v>
      </c>
      <c r="AK79" s="6">
        <v>28957</v>
      </c>
      <c r="AL79" s="6">
        <v>27230</v>
      </c>
      <c r="AM79" s="6">
        <v>35411</v>
      </c>
      <c r="AN79" s="6">
        <v>32742</v>
      </c>
      <c r="AO79" s="6">
        <v>29341</v>
      </c>
      <c r="AP79" s="6">
        <v>36601</v>
      </c>
      <c r="AQ79" s="6">
        <v>33359</v>
      </c>
    </row>
    <row r="80" spans="1:45" s="5" customFormat="1" x14ac:dyDescent="0.2">
      <c r="A80" s="23" t="s">
        <v>97</v>
      </c>
      <c r="B80" s="4">
        <f t="shared" si="43"/>
        <v>92529</v>
      </c>
      <c r="C80" s="4">
        <f t="shared" si="44"/>
        <v>64941</v>
      </c>
      <c r="D80" s="4">
        <f t="shared" si="45"/>
        <v>46282</v>
      </c>
      <c r="E80" s="4">
        <f t="shared" si="46"/>
        <v>43109</v>
      </c>
      <c r="F80" s="4">
        <f t="shared" si="47"/>
        <v>83337</v>
      </c>
      <c r="V80" s="6">
        <v>122861</v>
      </c>
      <c r="W80" s="6">
        <v>113672</v>
      </c>
      <c r="X80" s="6">
        <v>103763</v>
      </c>
      <c r="Y80" s="6">
        <v>92529</v>
      </c>
      <c r="Z80" s="6">
        <v>85514</v>
      </c>
      <c r="AA80" s="6">
        <v>78030</v>
      </c>
      <c r="AB80" s="6">
        <v>70346</v>
      </c>
      <c r="AC80" s="6">
        <v>64941</v>
      </c>
      <c r="AD80" s="6">
        <v>60052</v>
      </c>
      <c r="AE80" s="6">
        <v>55378</v>
      </c>
      <c r="AF80" s="6">
        <v>50408</v>
      </c>
      <c r="AG80" s="6">
        <v>46282</v>
      </c>
      <c r="AH80" s="6">
        <v>57123</v>
      </c>
      <c r="AI80" s="6">
        <v>52544</v>
      </c>
      <c r="AJ80" s="6">
        <v>47969</v>
      </c>
      <c r="AK80" s="6">
        <v>43109</v>
      </c>
      <c r="AL80" s="6">
        <v>38744</v>
      </c>
      <c r="AM80" s="6">
        <v>34426</v>
      </c>
      <c r="AN80" s="6">
        <v>30003</v>
      </c>
      <c r="AO80" s="6">
        <v>83337</v>
      </c>
      <c r="AP80" s="6">
        <v>277138</v>
      </c>
      <c r="AQ80" s="6">
        <v>266076</v>
      </c>
    </row>
    <row r="81" spans="1:45" s="5" customFormat="1" x14ac:dyDescent="0.2">
      <c r="A81" s="23" t="s">
        <v>98</v>
      </c>
      <c r="B81" s="4">
        <f t="shared" si="43"/>
        <v>1098975</v>
      </c>
      <c r="C81" s="4">
        <f t="shared" si="44"/>
        <v>1038721</v>
      </c>
      <c r="D81" s="4">
        <f t="shared" si="45"/>
        <v>1052504</v>
      </c>
      <c r="E81" s="4">
        <f t="shared" si="46"/>
        <v>1052130</v>
      </c>
      <c r="F81" s="4">
        <f t="shared" si="47"/>
        <v>1344983</v>
      </c>
      <c r="V81" s="6">
        <v>1118322</v>
      </c>
      <c r="W81" s="6">
        <v>1123155</v>
      </c>
      <c r="X81" s="6">
        <v>1115697</v>
      </c>
      <c r="Y81" s="6">
        <v>1098975</v>
      </c>
      <c r="Z81" s="6">
        <v>1091888</v>
      </c>
      <c r="AA81" s="6">
        <v>1036160</v>
      </c>
      <c r="AB81" s="6">
        <v>1011051</v>
      </c>
      <c r="AC81" s="6">
        <v>1038721</v>
      </c>
      <c r="AD81" s="6">
        <v>1044661</v>
      </c>
      <c r="AE81" s="6">
        <v>1046759</v>
      </c>
      <c r="AF81" s="6">
        <v>1035761</v>
      </c>
      <c r="AG81" s="6">
        <v>1052504</v>
      </c>
      <c r="AH81" s="6">
        <v>1064275</v>
      </c>
      <c r="AI81" s="6">
        <v>1060093</v>
      </c>
      <c r="AJ81" s="6">
        <v>1073757</v>
      </c>
      <c r="AK81" s="6">
        <v>1052130</v>
      </c>
      <c r="AL81" s="6">
        <v>1062665</v>
      </c>
      <c r="AM81" s="6">
        <v>1088408</v>
      </c>
      <c r="AN81" s="6">
        <v>1087822</v>
      </c>
      <c r="AO81" s="6">
        <v>1344983</v>
      </c>
      <c r="AP81" s="6">
        <v>1695003</v>
      </c>
      <c r="AQ81" s="6">
        <v>1690791</v>
      </c>
    </row>
    <row r="82" spans="1:45" x14ac:dyDescent="0.2">
      <c r="A82" s="21" t="s">
        <v>99</v>
      </c>
      <c r="B82" s="7">
        <f>Y82</f>
        <v>2393790</v>
      </c>
      <c r="C82" s="7">
        <f t="shared" si="44"/>
        <v>2378078</v>
      </c>
      <c r="D82" s="7">
        <f t="shared" si="45"/>
        <v>2604263</v>
      </c>
      <c r="E82" s="7">
        <f t="shared" si="46"/>
        <v>3407623</v>
      </c>
      <c r="F82" s="7">
        <f>AO82</f>
        <v>3720707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7">
        <f>SUM(V76:V81,V74)</f>
        <v>2927968</v>
      </c>
      <c r="W82" s="7">
        <f>SUM(W76:W81,W74)</f>
        <v>2488585</v>
      </c>
      <c r="X82" s="7">
        <f t="shared" ref="X82:AS82" si="48">SUM(X76:X81,X74)</f>
        <v>2422767</v>
      </c>
      <c r="Y82" s="7">
        <f t="shared" si="48"/>
        <v>2393790</v>
      </c>
      <c r="Z82" s="7">
        <f t="shared" si="48"/>
        <v>2419816</v>
      </c>
      <c r="AA82" s="7">
        <f t="shared" si="48"/>
        <v>2307597</v>
      </c>
      <c r="AB82" s="7">
        <f t="shared" si="48"/>
        <v>2316782</v>
      </c>
      <c r="AC82" s="7">
        <f t="shared" si="48"/>
        <v>2378078</v>
      </c>
      <c r="AD82" s="7">
        <f t="shared" si="48"/>
        <v>2445915</v>
      </c>
      <c r="AE82" s="7">
        <f t="shared" si="48"/>
        <v>2498638</v>
      </c>
      <c r="AF82" s="7">
        <f t="shared" si="48"/>
        <v>2511411</v>
      </c>
      <c r="AG82" s="7">
        <f t="shared" si="48"/>
        <v>2604263</v>
      </c>
      <c r="AH82" s="7">
        <f t="shared" si="48"/>
        <v>2676563</v>
      </c>
      <c r="AI82" s="7">
        <f t="shared" si="48"/>
        <v>3283940</v>
      </c>
      <c r="AJ82" s="7">
        <f t="shared" si="48"/>
        <v>3365413</v>
      </c>
      <c r="AK82" s="7">
        <f t="shared" si="48"/>
        <v>3407623</v>
      </c>
      <c r="AL82" s="7">
        <f t="shared" si="48"/>
        <v>3503142</v>
      </c>
      <c r="AM82" s="7">
        <f t="shared" si="48"/>
        <v>3623768</v>
      </c>
      <c r="AN82" s="7">
        <f t="shared" si="48"/>
        <v>3710761</v>
      </c>
      <c r="AO82" s="7">
        <f t="shared" si="48"/>
        <v>3720707</v>
      </c>
      <c r="AP82" s="7">
        <f t="shared" si="48"/>
        <v>3978204</v>
      </c>
      <c r="AQ82" s="7">
        <f t="shared" si="48"/>
        <v>3993544</v>
      </c>
      <c r="AR82" s="7">
        <f t="shared" si="48"/>
        <v>0</v>
      </c>
      <c r="AS82" s="7">
        <f t="shared" si="48"/>
        <v>0</v>
      </c>
    </row>
    <row r="84" spans="1:45" x14ac:dyDescent="0.2">
      <c r="A84" s="19" t="s">
        <v>100</v>
      </c>
    </row>
    <row r="85" spans="1:45" x14ac:dyDescent="0.2">
      <c r="A85" s="19" t="s">
        <v>101</v>
      </c>
    </row>
    <row r="86" spans="1:45" s="5" customFormat="1" x14ac:dyDescent="0.2">
      <c r="A86" s="23" t="s">
        <v>102</v>
      </c>
      <c r="B86" s="4">
        <f t="shared" ref="B86:B92" si="49">Y86</f>
        <v>193129</v>
      </c>
      <c r="C86" s="4">
        <f t="shared" ref="C86:C95" si="50">AC86</f>
        <v>237178</v>
      </c>
      <c r="D86" s="4">
        <f t="shared" ref="D86:D95" si="51">AG86</f>
        <v>199520</v>
      </c>
      <c r="E86" s="4">
        <f>AK86</f>
        <v>144929</v>
      </c>
      <c r="F86" s="4">
        <f t="shared" ref="F86:F92" si="52">AO86</f>
        <v>156288</v>
      </c>
      <c r="V86" s="6">
        <v>181606</v>
      </c>
      <c r="W86" s="6">
        <v>175546</v>
      </c>
      <c r="X86" s="6">
        <v>188663</v>
      </c>
      <c r="Y86" s="6">
        <v>193129</v>
      </c>
      <c r="Z86" s="6">
        <v>203475</v>
      </c>
      <c r="AA86" s="6">
        <v>169368</v>
      </c>
      <c r="AB86" s="6">
        <v>235812</v>
      </c>
      <c r="AC86" s="6">
        <v>237178</v>
      </c>
      <c r="AD86" s="6">
        <v>244820</v>
      </c>
      <c r="AE86" s="6">
        <v>234928</v>
      </c>
      <c r="AF86" s="6">
        <v>224308</v>
      </c>
      <c r="AG86" s="6">
        <v>199520</v>
      </c>
      <c r="AH86" s="6">
        <v>223575</v>
      </c>
      <c r="AI86" s="6">
        <v>184783</v>
      </c>
      <c r="AJ86" s="6">
        <v>152510</v>
      </c>
      <c r="AK86" s="6">
        <v>144929</v>
      </c>
      <c r="AL86" s="6">
        <v>164417</v>
      </c>
      <c r="AM86" s="6">
        <v>123127</v>
      </c>
      <c r="AN86" s="6">
        <v>145321</v>
      </c>
      <c r="AO86" s="6">
        <v>156288</v>
      </c>
      <c r="AP86" s="6">
        <v>172924</v>
      </c>
      <c r="AQ86" s="6">
        <v>146726</v>
      </c>
    </row>
    <row r="87" spans="1:45" s="5" customFormat="1" x14ac:dyDescent="0.2">
      <c r="A87" s="23" t="s">
        <v>103</v>
      </c>
      <c r="B87" s="4">
        <f t="shared" si="49"/>
        <v>81253</v>
      </c>
      <c r="C87" s="4">
        <f t="shared" si="50"/>
        <v>42869</v>
      </c>
      <c r="D87" s="4">
        <f t="shared" si="51"/>
        <v>54407</v>
      </c>
      <c r="E87" s="4">
        <f t="shared" ref="E87:E92" si="53">AK87</f>
        <v>61241</v>
      </c>
      <c r="F87" s="4">
        <f t="shared" si="52"/>
        <v>58864</v>
      </c>
      <c r="V87" s="6">
        <v>70890</v>
      </c>
      <c r="W87" s="6">
        <v>70525</v>
      </c>
      <c r="X87" s="6">
        <v>74718</v>
      </c>
      <c r="Y87" s="6">
        <v>81253</v>
      </c>
      <c r="Z87" s="6">
        <v>56409</v>
      </c>
      <c r="AA87" s="6">
        <v>52102</v>
      </c>
      <c r="AB87" s="6">
        <v>46555</v>
      </c>
      <c r="AC87" s="6">
        <v>42869</v>
      </c>
      <c r="AD87" s="6">
        <v>44096</v>
      </c>
      <c r="AE87" s="6">
        <v>52834</v>
      </c>
      <c r="AF87" s="6">
        <v>54508</v>
      </c>
      <c r="AG87" s="6">
        <v>54407</v>
      </c>
      <c r="AH87" s="6">
        <v>59621</v>
      </c>
      <c r="AI87" s="6">
        <v>57491</v>
      </c>
      <c r="AJ87" s="6">
        <v>61151</v>
      </c>
      <c r="AK87" s="6">
        <v>61241</v>
      </c>
      <c r="AL87" s="6">
        <v>50028</v>
      </c>
      <c r="AM87" s="6">
        <v>62283</v>
      </c>
      <c r="AN87" s="6">
        <v>59712</v>
      </c>
      <c r="AO87" s="6">
        <v>58864</v>
      </c>
      <c r="AP87" s="6">
        <v>50932</v>
      </c>
      <c r="AQ87" s="6">
        <v>55135</v>
      </c>
    </row>
    <row r="88" spans="1:45" s="5" customFormat="1" x14ac:dyDescent="0.2">
      <c r="A88" s="23" t="s">
        <v>104</v>
      </c>
      <c r="B88" s="4">
        <f t="shared" si="49"/>
        <v>113532</v>
      </c>
      <c r="C88" s="4">
        <f t="shared" si="50"/>
        <v>89431</v>
      </c>
      <c r="D88" s="4">
        <f t="shared" si="51"/>
        <v>135803</v>
      </c>
      <c r="E88" s="4">
        <f t="shared" si="53"/>
        <v>137384</v>
      </c>
      <c r="F88" s="4">
        <f t="shared" si="52"/>
        <v>122245</v>
      </c>
      <c r="V88" s="6">
        <v>90383</v>
      </c>
      <c r="W88" s="6">
        <v>103642</v>
      </c>
      <c r="X88" s="6">
        <v>99347</v>
      </c>
      <c r="Y88" s="6">
        <v>113532</v>
      </c>
      <c r="Z88" s="6">
        <v>86650</v>
      </c>
      <c r="AA88" s="6">
        <v>88933</v>
      </c>
      <c r="AB88" s="6">
        <v>77613</v>
      </c>
      <c r="AC88" s="6">
        <v>89431</v>
      </c>
      <c r="AD88" s="6">
        <v>77165</v>
      </c>
      <c r="AE88" s="6">
        <v>99611</v>
      </c>
      <c r="AF88" s="6">
        <v>106941</v>
      </c>
      <c r="AG88" s="6">
        <v>135803</v>
      </c>
      <c r="AH88" s="6">
        <v>94318</v>
      </c>
      <c r="AI88" s="6">
        <v>105884</v>
      </c>
      <c r="AJ88" s="6">
        <v>118634</v>
      </c>
      <c r="AK88" s="6">
        <v>137384</v>
      </c>
      <c r="AL88" s="6">
        <v>90241</v>
      </c>
      <c r="AM88" s="6">
        <v>106837</v>
      </c>
      <c r="AN88" s="6">
        <v>110462</v>
      </c>
      <c r="AO88" s="6">
        <v>122245</v>
      </c>
      <c r="AP88" s="6">
        <v>91652</v>
      </c>
      <c r="AQ88" s="6">
        <v>96649</v>
      </c>
    </row>
    <row r="89" spans="1:45" s="5" customFormat="1" x14ac:dyDescent="0.2">
      <c r="A89" s="23" t="s">
        <v>105</v>
      </c>
      <c r="B89" s="4">
        <f t="shared" si="49"/>
        <v>12208</v>
      </c>
      <c r="C89" s="4">
        <f t="shared" si="50"/>
        <v>15324</v>
      </c>
      <c r="D89" s="4">
        <f t="shared" si="51"/>
        <v>8636</v>
      </c>
      <c r="E89" s="4">
        <f t="shared" si="53"/>
        <v>19689</v>
      </c>
      <c r="F89" s="4">
        <f t="shared" si="52"/>
        <v>16618</v>
      </c>
      <c r="V89" s="6">
        <v>14256</v>
      </c>
      <c r="W89" s="6">
        <v>14235</v>
      </c>
      <c r="X89" s="6">
        <v>13674</v>
      </c>
      <c r="Y89" s="6">
        <v>12208</v>
      </c>
      <c r="Z89" s="6">
        <v>18576</v>
      </c>
      <c r="AA89" s="6">
        <v>13371</v>
      </c>
      <c r="AB89" s="6">
        <v>13663</v>
      </c>
      <c r="AC89" s="6">
        <v>15324</v>
      </c>
      <c r="AD89" s="6">
        <v>21481</v>
      </c>
      <c r="AE89" s="6">
        <v>14365</v>
      </c>
      <c r="AF89" s="6">
        <v>17407</v>
      </c>
      <c r="AG89" s="6">
        <v>8636</v>
      </c>
      <c r="AH89" s="6">
        <v>27754</v>
      </c>
      <c r="AI89" s="6">
        <v>12792</v>
      </c>
      <c r="AJ89" s="6">
        <v>14273</v>
      </c>
      <c r="AK89" s="6">
        <v>19689</v>
      </c>
      <c r="AL89" s="6">
        <v>18241</v>
      </c>
      <c r="AM89" s="6">
        <v>13636</v>
      </c>
      <c r="AN89" s="6">
        <v>15868</v>
      </c>
      <c r="AO89" s="6">
        <v>16618</v>
      </c>
      <c r="AP89" s="6">
        <v>22173</v>
      </c>
      <c r="AQ89" s="6">
        <v>24746</v>
      </c>
    </row>
    <row r="90" spans="1:45" s="5" customFormat="1" x14ac:dyDescent="0.2">
      <c r="A90" s="23" t="s">
        <v>106</v>
      </c>
      <c r="B90" s="4"/>
      <c r="C90" s="4"/>
      <c r="D90" s="4"/>
      <c r="E90" s="4"/>
      <c r="F90" s="4">
        <f t="shared" si="52"/>
        <v>459522</v>
      </c>
      <c r="V90" s="6">
        <v>400000</v>
      </c>
      <c r="AL90" s="6">
        <v>457747</v>
      </c>
      <c r="AM90" s="6">
        <v>458334</v>
      </c>
      <c r="AN90" s="6">
        <v>458928</v>
      </c>
      <c r="AO90" s="6">
        <v>459522</v>
      </c>
    </row>
    <row r="91" spans="1:45" s="5" customFormat="1" x14ac:dyDescent="0.2">
      <c r="A91" s="23" t="s">
        <v>107</v>
      </c>
      <c r="B91" s="4">
        <f t="shared" si="49"/>
        <v>18406</v>
      </c>
      <c r="C91" s="4">
        <f t="shared" si="50"/>
        <v>18203</v>
      </c>
      <c r="D91" s="4">
        <f t="shared" si="51"/>
        <v>14663</v>
      </c>
      <c r="E91" s="4">
        <f t="shared" si="53"/>
        <v>14302</v>
      </c>
      <c r="F91" s="4">
        <f t="shared" si="52"/>
        <v>10868</v>
      </c>
      <c r="V91" s="6">
        <v>22024</v>
      </c>
      <c r="W91" s="6">
        <v>20299</v>
      </c>
      <c r="X91" s="6">
        <v>18089</v>
      </c>
      <c r="Y91" s="6">
        <v>18406</v>
      </c>
      <c r="Z91" s="6">
        <v>17651</v>
      </c>
      <c r="AA91" s="6">
        <v>17378</v>
      </c>
      <c r="AB91" s="6">
        <v>17943</v>
      </c>
      <c r="AC91" s="6">
        <v>18203</v>
      </c>
      <c r="AD91" s="6">
        <v>17829</v>
      </c>
      <c r="AE91" s="6">
        <v>17847</v>
      </c>
      <c r="AF91" s="6">
        <v>16221</v>
      </c>
      <c r="AG91" s="6">
        <v>14663</v>
      </c>
      <c r="AH91" s="6">
        <v>15812</v>
      </c>
      <c r="AI91" s="6">
        <v>14612</v>
      </c>
      <c r="AJ91" s="6">
        <v>13807</v>
      </c>
      <c r="AK91" s="6">
        <v>14302</v>
      </c>
      <c r="AL91" s="6">
        <v>14934</v>
      </c>
      <c r="AM91" s="6">
        <v>13312</v>
      </c>
      <c r="AN91" s="6">
        <v>12867</v>
      </c>
      <c r="AO91" s="6">
        <v>10868</v>
      </c>
      <c r="AP91" s="6">
        <v>12969</v>
      </c>
      <c r="AQ91" s="6">
        <v>10871</v>
      </c>
    </row>
    <row r="92" spans="1:45" s="5" customFormat="1" x14ac:dyDescent="0.2">
      <c r="A92" s="23" t="s">
        <v>108</v>
      </c>
      <c r="B92" s="4">
        <f t="shared" si="49"/>
        <v>82816</v>
      </c>
      <c r="C92" s="4">
        <f t="shared" si="50"/>
        <v>95567</v>
      </c>
      <c r="D92" s="4">
        <f t="shared" si="51"/>
        <v>124207</v>
      </c>
      <c r="E92" s="4">
        <f t="shared" si="53"/>
        <v>150720</v>
      </c>
      <c r="F92" s="4">
        <f t="shared" si="52"/>
        <v>187822</v>
      </c>
      <c r="V92" s="6">
        <v>130403</v>
      </c>
      <c r="W92" s="6">
        <v>130118</v>
      </c>
      <c r="X92" s="6">
        <v>101263</v>
      </c>
      <c r="Y92" s="6">
        <v>82816</v>
      </c>
      <c r="Z92" s="6">
        <v>118807</v>
      </c>
      <c r="AA92" s="6">
        <v>120038</v>
      </c>
      <c r="AB92" s="6">
        <v>110531</v>
      </c>
      <c r="AC92" s="6">
        <v>95567</v>
      </c>
      <c r="AD92" s="6">
        <v>131164</v>
      </c>
      <c r="AE92" s="6">
        <v>140335</v>
      </c>
      <c r="AF92" s="6">
        <v>136539</v>
      </c>
      <c r="AG92" s="6">
        <v>124207</v>
      </c>
      <c r="AH92" s="6">
        <v>157237</v>
      </c>
      <c r="AI92" s="6">
        <v>159625</v>
      </c>
      <c r="AJ92" s="6">
        <v>161096</v>
      </c>
      <c r="AK92" s="6">
        <v>150720</v>
      </c>
      <c r="AL92" s="6">
        <v>187812</v>
      </c>
      <c r="AM92" s="6">
        <v>195530</v>
      </c>
      <c r="AN92" s="6">
        <v>184216</v>
      </c>
      <c r="AO92" s="6">
        <v>187822</v>
      </c>
      <c r="AP92" s="6">
        <v>222972</v>
      </c>
      <c r="AQ92" s="6">
        <v>230098</v>
      </c>
    </row>
    <row r="93" spans="1:45" s="5" customFormat="1" x14ac:dyDescent="0.2">
      <c r="A93" s="22" t="s">
        <v>49</v>
      </c>
      <c r="B93" s="4"/>
      <c r="C93" s="4"/>
      <c r="D93" s="4"/>
      <c r="V93" s="6"/>
      <c r="W93" s="6"/>
      <c r="X93" s="6"/>
      <c r="Y93" s="6"/>
      <c r="Z93" s="35">
        <f t="shared" ref="Z93:AQ93" si="54">(Z92-V92)/V92</f>
        <v>-8.8924334562855145E-2</v>
      </c>
      <c r="AA93" s="35">
        <f t="shared" si="54"/>
        <v>-7.7468144299789418E-2</v>
      </c>
      <c r="AB93" s="35">
        <f t="shared" si="54"/>
        <v>9.1524051232928116E-2</v>
      </c>
      <c r="AC93" s="35">
        <f t="shared" si="54"/>
        <v>0.15396783230293662</v>
      </c>
      <c r="AD93" s="35">
        <f t="shared" si="54"/>
        <v>0.10400902303736312</v>
      </c>
      <c r="AE93" s="35">
        <f t="shared" si="54"/>
        <v>0.16908812209467003</v>
      </c>
      <c r="AF93" s="35">
        <f t="shared" si="54"/>
        <v>0.23530050393102386</v>
      </c>
      <c r="AG93" s="35">
        <f t="shared" si="54"/>
        <v>0.29968503772222627</v>
      </c>
      <c r="AH93" s="35">
        <f t="shared" si="54"/>
        <v>0.19878167789942361</v>
      </c>
      <c r="AI93" s="35">
        <f t="shared" si="54"/>
        <v>0.13745679980047742</v>
      </c>
      <c r="AJ93" s="35">
        <f t="shared" si="54"/>
        <v>0.17985337522612588</v>
      </c>
      <c r="AK93" s="35">
        <f t="shared" si="54"/>
        <v>0.21345817868558134</v>
      </c>
      <c r="AL93" s="35">
        <f t="shared" si="54"/>
        <v>0.19445168757989531</v>
      </c>
      <c r="AM93" s="35">
        <f t="shared" si="54"/>
        <v>0.22493343774471417</v>
      </c>
      <c r="AN93" s="35">
        <f t="shared" si="54"/>
        <v>0.14351690917217064</v>
      </c>
      <c r="AO93" s="35">
        <f t="shared" si="54"/>
        <v>0.24616507430997878</v>
      </c>
      <c r="AP93" s="35">
        <f t="shared" si="54"/>
        <v>0.18720848508082549</v>
      </c>
      <c r="AQ93" s="35">
        <f t="shared" si="54"/>
        <v>0.17679128522477369</v>
      </c>
    </row>
    <row r="94" spans="1:45" s="5" customFormat="1" x14ac:dyDescent="0.2">
      <c r="A94" s="22" t="s">
        <v>270</v>
      </c>
      <c r="B94" s="4"/>
      <c r="C94" s="4"/>
      <c r="D94" s="4"/>
      <c r="V94" s="6"/>
      <c r="W94" s="6"/>
      <c r="X94" s="6"/>
      <c r="Y94" s="35">
        <f t="shared" ref="Y94:AQ94" si="55">Y92/SUM(V9:Y9)</f>
        <v>0.27298048302936612</v>
      </c>
      <c r="Z94" s="35">
        <f t="shared" si="55"/>
        <v>0.39323399353916222</v>
      </c>
      <c r="AA94" s="35">
        <f t="shared" si="55"/>
        <v>0.40496054571400619</v>
      </c>
      <c r="AB94" s="35">
        <f t="shared" si="55"/>
        <v>0.37661421669176726</v>
      </c>
      <c r="AC94" s="35">
        <f t="shared" si="55"/>
        <v>0.32360380738247535</v>
      </c>
      <c r="AD94" s="35">
        <f t="shared" si="55"/>
        <v>0.44000885626681518</v>
      </c>
      <c r="AE94" s="35">
        <f t="shared" si="55"/>
        <v>0.46410606626826778</v>
      </c>
      <c r="AF94" s="35">
        <f t="shared" si="55"/>
        <v>0.44083945435466948</v>
      </c>
      <c r="AG94" s="35">
        <f t="shared" si="55"/>
        <v>0.40048171172100699</v>
      </c>
      <c r="AH94" s="35">
        <f t="shared" si="55"/>
        <v>0.51138972907925972</v>
      </c>
      <c r="AI94" s="35">
        <f t="shared" si="55"/>
        <v>0.51933369121402895</v>
      </c>
      <c r="AJ94" s="35">
        <f t="shared" si="55"/>
        <v>0.52964055220754802</v>
      </c>
      <c r="AK94" s="35">
        <f t="shared" si="55"/>
        <v>0.48704509174104405</v>
      </c>
      <c r="AL94" s="35">
        <f t="shared" si="55"/>
        <v>0.59088620976064032</v>
      </c>
      <c r="AM94" s="35">
        <f t="shared" si="55"/>
        <v>0.59025608051608536</v>
      </c>
      <c r="AN94" s="35">
        <f t="shared" si="55"/>
        <v>0.53966579952658844</v>
      </c>
      <c r="AO94" s="35">
        <f t="shared" si="55"/>
        <v>0.52432317750643465</v>
      </c>
      <c r="AP94" s="35">
        <f t="shared" si="55"/>
        <v>0.58158163118920991</v>
      </c>
      <c r="AQ94" s="35">
        <f t="shared" si="55"/>
        <v>0.57060597343596564</v>
      </c>
    </row>
    <row r="95" spans="1:45" x14ac:dyDescent="0.2">
      <c r="A95" s="21" t="s">
        <v>109</v>
      </c>
      <c r="B95" s="7">
        <f>Y95</f>
        <v>501344</v>
      </c>
      <c r="C95" s="7">
        <f t="shared" si="50"/>
        <v>498572</v>
      </c>
      <c r="D95" s="7">
        <f t="shared" si="51"/>
        <v>537236</v>
      </c>
      <c r="E95" s="7">
        <f>AK95</f>
        <v>528265</v>
      </c>
      <c r="F95" s="7">
        <f>AO95</f>
        <v>1012227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7">
        <f t="shared" ref="V95:AS95" si="56">SUM(V86:V92)</f>
        <v>909562</v>
      </c>
      <c r="W95" s="7">
        <f t="shared" si="56"/>
        <v>514365</v>
      </c>
      <c r="X95" s="7">
        <f t="shared" si="56"/>
        <v>495754</v>
      </c>
      <c r="Y95" s="7">
        <f t="shared" si="56"/>
        <v>501344</v>
      </c>
      <c r="Z95" s="7">
        <f t="shared" si="56"/>
        <v>501568</v>
      </c>
      <c r="AA95" s="7">
        <f t="shared" si="56"/>
        <v>461190</v>
      </c>
      <c r="AB95" s="7">
        <f t="shared" si="56"/>
        <v>502117</v>
      </c>
      <c r="AC95" s="7">
        <f t="shared" si="56"/>
        <v>498572</v>
      </c>
      <c r="AD95" s="7">
        <f t="shared" si="56"/>
        <v>536555</v>
      </c>
      <c r="AE95" s="7">
        <f t="shared" si="56"/>
        <v>559920</v>
      </c>
      <c r="AF95" s="7">
        <f t="shared" si="56"/>
        <v>555924</v>
      </c>
      <c r="AG95" s="7">
        <f t="shared" si="56"/>
        <v>537236</v>
      </c>
      <c r="AH95" s="7">
        <f t="shared" si="56"/>
        <v>578317</v>
      </c>
      <c r="AI95" s="7">
        <f t="shared" si="56"/>
        <v>535187</v>
      </c>
      <c r="AJ95" s="7">
        <f t="shared" si="56"/>
        <v>521471</v>
      </c>
      <c r="AK95" s="7">
        <f t="shared" si="56"/>
        <v>528265</v>
      </c>
      <c r="AL95" s="7">
        <f t="shared" si="56"/>
        <v>983420</v>
      </c>
      <c r="AM95" s="7">
        <f t="shared" si="56"/>
        <v>973059</v>
      </c>
      <c r="AN95" s="7">
        <f t="shared" si="56"/>
        <v>987374</v>
      </c>
      <c r="AO95" s="7">
        <f t="shared" si="56"/>
        <v>1012227</v>
      </c>
      <c r="AP95" s="7">
        <f t="shared" si="56"/>
        <v>573622</v>
      </c>
      <c r="AQ95" s="7">
        <f t="shared" si="56"/>
        <v>564225</v>
      </c>
      <c r="AR95" s="7">
        <f t="shared" si="56"/>
        <v>0</v>
      </c>
      <c r="AS95" s="7">
        <f t="shared" si="56"/>
        <v>0</v>
      </c>
    </row>
    <row r="97" spans="1:45" s="5" customFormat="1" x14ac:dyDescent="0.2">
      <c r="A97" s="23" t="s">
        <v>110</v>
      </c>
      <c r="B97" s="4">
        <f t="shared" ref="B97:B102" si="57">Y97</f>
        <v>450228</v>
      </c>
      <c r="C97" s="4">
        <f t="shared" ref="C97:C103" si="58">AC97</f>
        <v>452526</v>
      </c>
      <c r="D97" s="4">
        <f t="shared" ref="D97:D103" si="59">AG97</f>
        <v>454827</v>
      </c>
      <c r="E97" s="4">
        <f t="shared" ref="E97:E103" si="60">AK97</f>
        <v>1242424</v>
      </c>
      <c r="F97" s="4">
        <f t="shared" ref="F97:F103" si="61">AO97</f>
        <v>788805</v>
      </c>
      <c r="V97" s="6">
        <v>496531</v>
      </c>
      <c r="W97" s="6">
        <v>479034</v>
      </c>
      <c r="X97" s="6">
        <v>449629</v>
      </c>
      <c r="Y97" s="6">
        <v>450228</v>
      </c>
      <c r="Z97" s="6">
        <v>450795</v>
      </c>
      <c r="AA97" s="6">
        <v>451369</v>
      </c>
      <c r="AB97" s="6">
        <v>451947</v>
      </c>
      <c r="AC97" s="6">
        <v>452526</v>
      </c>
      <c r="AD97" s="6">
        <v>453094</v>
      </c>
      <c r="AE97" s="6">
        <v>453667</v>
      </c>
      <c r="AF97" s="6">
        <v>454247</v>
      </c>
      <c r="AG97" s="6">
        <v>454827</v>
      </c>
      <c r="AH97" s="6">
        <v>455400</v>
      </c>
      <c r="AI97" s="6">
        <v>1239772</v>
      </c>
      <c r="AJ97" s="6">
        <v>1240950</v>
      </c>
      <c r="AK97" s="6">
        <v>1242424</v>
      </c>
      <c r="AL97" s="6">
        <v>786137</v>
      </c>
      <c r="AM97" s="6">
        <v>787023</v>
      </c>
      <c r="AN97" s="6">
        <v>787906</v>
      </c>
      <c r="AO97" s="6">
        <v>788805</v>
      </c>
      <c r="AP97" s="6">
        <v>1573835</v>
      </c>
      <c r="AQ97" s="6">
        <v>1575242</v>
      </c>
    </row>
    <row r="98" spans="1:45" s="5" customFormat="1" x14ac:dyDescent="0.2">
      <c r="A98" s="23" t="s">
        <v>111</v>
      </c>
      <c r="B98" s="4">
        <f t="shared" si="57"/>
        <v>13616</v>
      </c>
      <c r="C98" s="4">
        <f t="shared" si="58"/>
        <v>7495</v>
      </c>
      <c r="D98" s="4">
        <f t="shared" si="59"/>
        <v>7501</v>
      </c>
      <c r="E98" s="4">
        <f t="shared" si="60"/>
        <v>7839</v>
      </c>
      <c r="F98" s="4">
        <f t="shared" si="61"/>
        <v>7350</v>
      </c>
      <c r="V98" s="6">
        <v>17310</v>
      </c>
      <c r="W98" s="6">
        <v>15911</v>
      </c>
      <c r="X98" s="6">
        <v>16598</v>
      </c>
      <c r="Y98" s="6">
        <v>13616</v>
      </c>
      <c r="Z98" s="6">
        <v>13184</v>
      </c>
      <c r="AA98" s="6">
        <v>11331</v>
      </c>
      <c r="AB98" s="6">
        <v>7515</v>
      </c>
      <c r="AC98" s="6">
        <v>7495</v>
      </c>
      <c r="AD98" s="6">
        <v>7002</v>
      </c>
      <c r="AE98" s="6">
        <v>7639</v>
      </c>
      <c r="AF98" s="6">
        <v>7262</v>
      </c>
      <c r="AG98" s="6">
        <v>7501</v>
      </c>
      <c r="AH98" s="6">
        <v>7763</v>
      </c>
      <c r="AI98" s="6">
        <v>8227</v>
      </c>
      <c r="AJ98" s="6">
        <v>7925</v>
      </c>
      <c r="AK98" s="6">
        <v>7839</v>
      </c>
      <c r="AL98" s="6">
        <v>7583</v>
      </c>
      <c r="AM98" s="6">
        <v>7455</v>
      </c>
      <c r="AN98" s="6">
        <v>7362</v>
      </c>
      <c r="AO98" s="6">
        <v>7350</v>
      </c>
      <c r="AP98" s="6">
        <v>7342</v>
      </c>
      <c r="AQ98" s="6">
        <v>7078</v>
      </c>
    </row>
    <row r="99" spans="1:45" s="5" customFormat="1" x14ac:dyDescent="0.2">
      <c r="A99" s="23" t="s">
        <v>112</v>
      </c>
      <c r="B99" s="4">
        <f t="shared" si="57"/>
        <v>87863</v>
      </c>
      <c r="C99" s="4">
        <f t="shared" si="58"/>
        <v>57839</v>
      </c>
      <c r="D99" s="4">
        <f t="shared" si="59"/>
        <v>63887</v>
      </c>
      <c r="E99" s="4">
        <f t="shared" si="60"/>
        <v>59537</v>
      </c>
      <c r="F99" s="4">
        <f t="shared" si="61"/>
        <v>61998</v>
      </c>
      <c r="V99" s="6">
        <v>115257</v>
      </c>
      <c r="W99" s="6">
        <v>116666</v>
      </c>
      <c r="X99" s="6">
        <v>114771</v>
      </c>
      <c r="Y99" s="6">
        <v>87863</v>
      </c>
      <c r="Z99" s="6">
        <v>81932</v>
      </c>
      <c r="AA99" s="6">
        <v>77396</v>
      </c>
      <c r="AB99" s="6">
        <v>71111</v>
      </c>
      <c r="AC99" s="6">
        <v>57839</v>
      </c>
      <c r="AD99" s="6">
        <v>59127</v>
      </c>
      <c r="AE99" s="6">
        <v>59739</v>
      </c>
      <c r="AF99" s="6">
        <v>58079</v>
      </c>
      <c r="AG99" s="6">
        <v>63887</v>
      </c>
      <c r="AH99" s="6">
        <v>62626</v>
      </c>
      <c r="AI99" s="6">
        <v>62024</v>
      </c>
      <c r="AJ99" s="6">
        <v>64886</v>
      </c>
      <c r="AK99" s="6">
        <v>59537</v>
      </c>
      <c r="AL99" s="6">
        <v>61253</v>
      </c>
      <c r="AM99" s="6">
        <v>65864</v>
      </c>
      <c r="AN99" s="6">
        <v>65733</v>
      </c>
      <c r="AO99" s="6">
        <v>61998</v>
      </c>
      <c r="AP99" s="6">
        <v>60163</v>
      </c>
      <c r="AQ99" s="6">
        <v>59874</v>
      </c>
    </row>
    <row r="100" spans="1:45" s="5" customFormat="1" x14ac:dyDescent="0.2">
      <c r="A100" s="23" t="s">
        <v>113</v>
      </c>
      <c r="B100" s="4">
        <f t="shared" si="57"/>
        <v>2000</v>
      </c>
      <c r="C100" s="4">
        <f t="shared" si="58"/>
        <v>833</v>
      </c>
      <c r="D100" s="4">
        <f t="shared" si="59"/>
        <v>697</v>
      </c>
      <c r="E100" s="4">
        <f t="shared" si="60"/>
        <v>565</v>
      </c>
      <c r="F100" s="4">
        <f t="shared" si="61"/>
        <v>623</v>
      </c>
      <c r="V100" s="6">
        <v>1806</v>
      </c>
      <c r="W100" s="6">
        <v>1832</v>
      </c>
      <c r="X100" s="6">
        <v>1792</v>
      </c>
      <c r="Y100" s="6">
        <v>2000</v>
      </c>
      <c r="Z100" s="6">
        <v>1956</v>
      </c>
      <c r="AA100" s="6">
        <v>1849</v>
      </c>
      <c r="AB100" s="6">
        <v>1723</v>
      </c>
      <c r="AC100" s="5">
        <v>833</v>
      </c>
      <c r="AD100" s="5">
        <v>849</v>
      </c>
      <c r="AE100" s="5">
        <v>853</v>
      </c>
      <c r="AF100" s="5">
        <v>823</v>
      </c>
      <c r="AG100" s="5">
        <v>697</v>
      </c>
      <c r="AH100" s="5">
        <v>678</v>
      </c>
      <c r="AI100" s="5">
        <v>670</v>
      </c>
      <c r="AJ100" s="5">
        <v>622</v>
      </c>
      <c r="AK100" s="5">
        <v>565</v>
      </c>
      <c r="AL100" s="5">
        <v>623</v>
      </c>
      <c r="AM100" s="5">
        <v>661</v>
      </c>
      <c r="AN100" s="5">
        <v>808</v>
      </c>
      <c r="AO100" s="5">
        <v>623</v>
      </c>
      <c r="AP100" s="6">
        <v>9618</v>
      </c>
      <c r="AQ100" s="6">
        <v>1387</v>
      </c>
    </row>
    <row r="101" spans="1:45" s="5" customFormat="1" x14ac:dyDescent="0.2">
      <c r="A101" s="23" t="s">
        <v>114</v>
      </c>
      <c r="B101" s="4">
        <f t="shared" si="57"/>
        <v>57314</v>
      </c>
      <c r="C101" s="4">
        <f t="shared" si="58"/>
        <v>44370</v>
      </c>
      <c r="D101" s="4">
        <f t="shared" si="59"/>
        <v>32656</v>
      </c>
      <c r="E101" s="4">
        <f t="shared" si="60"/>
        <v>25350</v>
      </c>
      <c r="F101" s="4">
        <f t="shared" si="61"/>
        <v>19623</v>
      </c>
      <c r="V101" s="6">
        <v>65822</v>
      </c>
      <c r="W101" s="6">
        <v>62785</v>
      </c>
      <c r="X101" s="6">
        <v>59149</v>
      </c>
      <c r="Y101" s="6">
        <v>57314</v>
      </c>
      <c r="Z101" s="6">
        <v>54333</v>
      </c>
      <c r="AA101" s="6">
        <v>50082</v>
      </c>
      <c r="AB101" s="6">
        <v>47147</v>
      </c>
      <c r="AC101" s="6">
        <v>44370</v>
      </c>
      <c r="AD101" s="6">
        <v>40294</v>
      </c>
      <c r="AE101" s="6">
        <v>35944</v>
      </c>
      <c r="AF101" s="6">
        <v>33024</v>
      </c>
      <c r="AG101" s="6">
        <v>32656</v>
      </c>
      <c r="AH101" s="6">
        <v>31702</v>
      </c>
      <c r="AI101" s="6">
        <v>28468</v>
      </c>
      <c r="AJ101" s="6">
        <v>28820</v>
      </c>
      <c r="AK101" s="6">
        <v>25350</v>
      </c>
      <c r="AL101" s="6">
        <v>22322</v>
      </c>
      <c r="AM101" s="6">
        <v>27061</v>
      </c>
      <c r="AN101" s="6">
        <v>22890</v>
      </c>
      <c r="AO101" s="6">
        <v>19623</v>
      </c>
      <c r="AP101" s="6">
        <v>28278</v>
      </c>
      <c r="AQ101" s="6">
        <v>26092</v>
      </c>
    </row>
    <row r="102" spans="1:45" s="5" customFormat="1" x14ac:dyDescent="0.2">
      <c r="A102" s="23" t="s">
        <v>115</v>
      </c>
      <c r="B102" s="4">
        <f t="shared" si="57"/>
        <v>138666</v>
      </c>
      <c r="C102" s="4">
        <f t="shared" si="58"/>
        <v>124887</v>
      </c>
      <c r="D102" s="4">
        <f t="shared" si="59"/>
        <v>176028</v>
      </c>
      <c r="E102" s="4">
        <f t="shared" si="60"/>
        <v>132215</v>
      </c>
      <c r="F102" s="4">
        <f t="shared" si="61"/>
        <v>91885</v>
      </c>
      <c r="V102" s="6">
        <v>100512</v>
      </c>
      <c r="W102" s="6">
        <v>97334</v>
      </c>
      <c r="X102" s="6">
        <v>85248</v>
      </c>
      <c r="Y102" s="6">
        <v>138666</v>
      </c>
      <c r="Z102" s="6">
        <v>129296</v>
      </c>
      <c r="AA102" s="6">
        <v>121280</v>
      </c>
      <c r="AB102" s="6">
        <v>118049</v>
      </c>
      <c r="AC102" s="6">
        <v>124887</v>
      </c>
      <c r="AD102" s="6">
        <v>154851</v>
      </c>
      <c r="AE102" s="6">
        <v>151989</v>
      </c>
      <c r="AF102" s="6">
        <v>144322</v>
      </c>
      <c r="AG102" s="6">
        <v>176028</v>
      </c>
      <c r="AH102" s="6">
        <v>154767</v>
      </c>
      <c r="AI102" s="6">
        <v>148901</v>
      </c>
      <c r="AJ102" s="6">
        <v>132052</v>
      </c>
      <c r="AK102" s="6">
        <v>132215</v>
      </c>
      <c r="AL102" s="6">
        <v>132725</v>
      </c>
      <c r="AM102" s="6">
        <v>128221</v>
      </c>
      <c r="AN102" s="6">
        <v>125270</v>
      </c>
      <c r="AO102" s="6">
        <v>91885</v>
      </c>
      <c r="AP102" s="6">
        <v>96398</v>
      </c>
      <c r="AQ102" s="6">
        <v>121519</v>
      </c>
    </row>
    <row r="103" spans="1:45" x14ac:dyDescent="0.2">
      <c r="A103" s="21" t="s">
        <v>116</v>
      </c>
      <c r="B103" s="7">
        <f>Y103</f>
        <v>1251031</v>
      </c>
      <c r="C103" s="7">
        <f t="shared" si="58"/>
        <v>1186522</v>
      </c>
      <c r="D103" s="7">
        <f t="shared" si="59"/>
        <v>1272832</v>
      </c>
      <c r="E103" s="7">
        <f t="shared" si="60"/>
        <v>1996195</v>
      </c>
      <c r="F103" s="7">
        <f t="shared" si="61"/>
        <v>1982511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7">
        <f>SUM(V97:V102,V95)</f>
        <v>1706800</v>
      </c>
      <c r="W103" s="7">
        <f>SUM(W97:W102,W95)</f>
        <v>1287927</v>
      </c>
      <c r="X103" s="7">
        <f t="shared" ref="X103:AS103" si="62">SUM(X97:X102,X95)</f>
        <v>1222941</v>
      </c>
      <c r="Y103" s="7">
        <f t="shared" si="62"/>
        <v>1251031</v>
      </c>
      <c r="Z103" s="7">
        <f t="shared" si="62"/>
        <v>1233064</v>
      </c>
      <c r="AA103" s="7">
        <f t="shared" si="62"/>
        <v>1174497</v>
      </c>
      <c r="AB103" s="7">
        <f t="shared" si="62"/>
        <v>1199609</v>
      </c>
      <c r="AC103" s="7">
        <f t="shared" si="62"/>
        <v>1186522</v>
      </c>
      <c r="AD103" s="7">
        <f t="shared" si="62"/>
        <v>1251772</v>
      </c>
      <c r="AE103" s="7">
        <f t="shared" si="62"/>
        <v>1269751</v>
      </c>
      <c r="AF103" s="7">
        <f t="shared" si="62"/>
        <v>1253681</v>
      </c>
      <c r="AG103" s="7">
        <f t="shared" si="62"/>
        <v>1272832</v>
      </c>
      <c r="AH103" s="7">
        <f t="shared" si="62"/>
        <v>1291253</v>
      </c>
      <c r="AI103" s="7">
        <f t="shared" si="62"/>
        <v>2023249</v>
      </c>
      <c r="AJ103" s="7">
        <f t="shared" si="62"/>
        <v>1996726</v>
      </c>
      <c r="AK103" s="7">
        <f t="shared" si="62"/>
        <v>1996195</v>
      </c>
      <c r="AL103" s="7">
        <f t="shared" si="62"/>
        <v>1994063</v>
      </c>
      <c r="AM103" s="7">
        <f t="shared" si="62"/>
        <v>1989344</v>
      </c>
      <c r="AN103" s="7">
        <f t="shared" si="62"/>
        <v>1997343</v>
      </c>
      <c r="AO103" s="7">
        <f t="shared" si="62"/>
        <v>1982511</v>
      </c>
      <c r="AP103" s="7">
        <f t="shared" si="62"/>
        <v>2349256</v>
      </c>
      <c r="AQ103" s="7">
        <f t="shared" si="62"/>
        <v>2355417</v>
      </c>
      <c r="AR103" s="7">
        <f t="shared" si="62"/>
        <v>0</v>
      </c>
      <c r="AS103" s="7">
        <f t="shared" si="62"/>
        <v>0</v>
      </c>
    </row>
    <row r="105" spans="1:45" x14ac:dyDescent="0.2">
      <c r="A105" s="19" t="s">
        <v>117</v>
      </c>
    </row>
    <row r="106" spans="1:45" s="5" customFormat="1" x14ac:dyDescent="0.2">
      <c r="A106" s="23" t="s">
        <v>118</v>
      </c>
      <c r="B106" s="4"/>
      <c r="D106" s="6"/>
      <c r="V106" s="5">
        <v>0</v>
      </c>
      <c r="W106" s="5">
        <v>0</v>
      </c>
    </row>
    <row r="107" spans="1:45" s="5" customFormat="1" x14ac:dyDescent="0.2">
      <c r="A107" s="23" t="s">
        <v>119</v>
      </c>
      <c r="B107" s="4">
        <f t="shared" ref="B107:B109" si="63">Y107</f>
        <v>1779775</v>
      </c>
      <c r="C107" s="4">
        <f t="shared" ref="C107:C113" si="64">AC107</f>
        <v>1788479</v>
      </c>
      <c r="D107" s="4">
        <f t="shared" ref="D107:D113" si="65">AG107</f>
        <v>1820510</v>
      </c>
      <c r="E107" s="4">
        <f t="shared" ref="E107:E113" si="66">AK107</f>
        <v>1689835</v>
      </c>
      <c r="F107" s="4">
        <f t="shared" ref="F107:F110" si="67">AO107</f>
        <v>1661350</v>
      </c>
      <c r="V107" s="6">
        <v>1768517</v>
      </c>
      <c r="W107" s="6">
        <v>1775315</v>
      </c>
      <c r="X107" s="6">
        <v>1782060</v>
      </c>
      <c r="Y107" s="6">
        <v>1779775</v>
      </c>
      <c r="Z107" s="6">
        <v>1770057</v>
      </c>
      <c r="AA107" s="6">
        <v>1777476</v>
      </c>
      <c r="AB107" s="6">
        <v>1783193</v>
      </c>
      <c r="AC107" s="6">
        <v>1788479</v>
      </c>
      <c r="AD107" s="6">
        <v>1796005</v>
      </c>
      <c r="AE107" s="6">
        <v>1803813</v>
      </c>
      <c r="AF107" s="6">
        <v>1811365</v>
      </c>
      <c r="AG107" s="6">
        <v>1820510</v>
      </c>
      <c r="AH107" s="6">
        <v>1833510</v>
      </c>
      <c r="AI107" s="6">
        <v>1662965</v>
      </c>
      <c r="AJ107" s="6">
        <v>1673916</v>
      </c>
      <c r="AK107" s="6">
        <v>1689835</v>
      </c>
      <c r="AL107" s="6">
        <v>1708588</v>
      </c>
      <c r="AM107" s="6">
        <v>1728667</v>
      </c>
      <c r="AN107" s="6">
        <v>1745986</v>
      </c>
      <c r="AO107" s="6">
        <v>1661350</v>
      </c>
      <c r="AP107" s="6">
        <v>1511342</v>
      </c>
      <c r="AQ107" s="6">
        <v>1472138</v>
      </c>
    </row>
    <row r="108" spans="1:45" s="5" customFormat="1" x14ac:dyDescent="0.2">
      <c r="A108" s="23" t="s">
        <v>120</v>
      </c>
      <c r="B108" s="4">
        <f t="shared" si="63"/>
        <v>-148098</v>
      </c>
      <c r="C108" s="4">
        <f t="shared" si="64"/>
        <v>-94674</v>
      </c>
      <c r="D108" s="4">
        <f t="shared" si="65"/>
        <v>-81190</v>
      </c>
      <c r="E108" s="4">
        <f t="shared" si="66"/>
        <v>-109931</v>
      </c>
      <c r="F108" s="4">
        <f t="shared" si="67"/>
        <v>-56505</v>
      </c>
      <c r="V108" s="6">
        <v>-150309</v>
      </c>
      <c r="W108" s="6">
        <v>-145172</v>
      </c>
      <c r="X108" s="6">
        <v>-151739</v>
      </c>
      <c r="Y108" s="6">
        <v>-148098</v>
      </c>
      <c r="Z108" s="6">
        <v>-95283</v>
      </c>
      <c r="AA108" s="6">
        <v>-115705</v>
      </c>
      <c r="AB108" s="6">
        <v>-141821</v>
      </c>
      <c r="AC108" s="6">
        <v>-94674</v>
      </c>
      <c r="AD108" s="6">
        <v>-87555</v>
      </c>
      <c r="AE108" s="6">
        <v>-85722</v>
      </c>
      <c r="AF108" s="6">
        <v>-100840</v>
      </c>
      <c r="AG108" s="6">
        <v>-81190</v>
      </c>
      <c r="AH108" s="6">
        <v>-92098</v>
      </c>
      <c r="AI108" s="6">
        <v>-98032</v>
      </c>
      <c r="AJ108" s="6">
        <v>-78186</v>
      </c>
      <c r="AK108" s="6">
        <v>-109931</v>
      </c>
      <c r="AL108" s="6">
        <v>-96383</v>
      </c>
      <c r="AM108" s="6">
        <v>-59869</v>
      </c>
      <c r="AN108" s="6">
        <v>-62908</v>
      </c>
      <c r="AO108" s="6">
        <v>-56505</v>
      </c>
      <c r="AP108" s="6">
        <v>-69331</v>
      </c>
      <c r="AQ108" s="6">
        <v>-74421</v>
      </c>
    </row>
    <row r="109" spans="1:45" s="5" customFormat="1" x14ac:dyDescent="0.2">
      <c r="A109" s="23" t="s">
        <v>121</v>
      </c>
      <c r="B109" s="4">
        <f t="shared" si="63"/>
        <v>-515600</v>
      </c>
      <c r="C109" s="4">
        <f t="shared" si="64"/>
        <v>-525332</v>
      </c>
      <c r="D109" s="4">
        <f t="shared" si="65"/>
        <v>-428409</v>
      </c>
      <c r="E109" s="4">
        <f t="shared" si="66"/>
        <v>-189304</v>
      </c>
      <c r="F109" s="4">
        <f t="shared" si="67"/>
        <v>111751</v>
      </c>
      <c r="V109" s="6">
        <v>-421742</v>
      </c>
      <c r="W109" s="6">
        <v>-454865</v>
      </c>
      <c r="X109" s="6">
        <v>-456734</v>
      </c>
      <c r="Y109" s="6">
        <v>-515600</v>
      </c>
      <c r="Z109" s="6">
        <v>-514694</v>
      </c>
      <c r="AA109" s="6">
        <v>-551661</v>
      </c>
      <c r="AB109" s="6">
        <v>-547544</v>
      </c>
      <c r="AC109" s="6">
        <v>-525332</v>
      </c>
      <c r="AD109" s="6">
        <v>-537168</v>
      </c>
      <c r="AE109" s="6">
        <v>-512967</v>
      </c>
      <c r="AF109" s="6">
        <v>-472795</v>
      </c>
      <c r="AG109" s="6">
        <v>-428409</v>
      </c>
      <c r="AH109" s="6">
        <v>-376688</v>
      </c>
      <c r="AI109" s="6">
        <v>-325370</v>
      </c>
      <c r="AJ109" s="6">
        <v>-247411</v>
      </c>
      <c r="AK109" s="6">
        <v>-189304</v>
      </c>
      <c r="AL109" s="6">
        <v>-123830</v>
      </c>
      <c r="AM109" s="6">
        <v>-55490</v>
      </c>
      <c r="AN109" s="6">
        <v>10123</v>
      </c>
      <c r="AO109" s="6">
        <v>111751</v>
      </c>
      <c r="AP109" s="6">
        <v>165210</v>
      </c>
      <c r="AQ109" s="6">
        <v>218482</v>
      </c>
    </row>
    <row r="110" spans="1:45" x14ac:dyDescent="0.2">
      <c r="A110" s="21" t="s">
        <v>122</v>
      </c>
      <c r="B110" s="7">
        <f>Y110</f>
        <v>1116077</v>
      </c>
      <c r="C110" s="7">
        <f t="shared" si="64"/>
        <v>1168473</v>
      </c>
      <c r="D110" s="7">
        <f t="shared" si="65"/>
        <v>1310911</v>
      </c>
      <c r="E110" s="7">
        <f t="shared" si="66"/>
        <v>1390600</v>
      </c>
      <c r="F110" s="7">
        <f t="shared" si="67"/>
        <v>1716596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7">
        <f>SUM(V106:V109)</f>
        <v>1196466</v>
      </c>
      <c r="W110" s="7">
        <f>SUM(W106:W109)</f>
        <v>1175278</v>
      </c>
      <c r="X110" s="7">
        <f t="shared" ref="X110:AS110" si="68">SUM(X106:X109)</f>
        <v>1173587</v>
      </c>
      <c r="Y110" s="7">
        <f t="shared" si="68"/>
        <v>1116077</v>
      </c>
      <c r="Z110" s="7">
        <f t="shared" si="68"/>
        <v>1160080</v>
      </c>
      <c r="AA110" s="7">
        <f t="shared" si="68"/>
        <v>1110110</v>
      </c>
      <c r="AB110" s="7">
        <f t="shared" si="68"/>
        <v>1093828</v>
      </c>
      <c r="AC110" s="7">
        <f t="shared" si="68"/>
        <v>1168473</v>
      </c>
      <c r="AD110" s="7">
        <f t="shared" si="68"/>
        <v>1171282</v>
      </c>
      <c r="AE110" s="7">
        <f t="shared" si="68"/>
        <v>1205124</v>
      </c>
      <c r="AF110" s="7">
        <f t="shared" si="68"/>
        <v>1237730</v>
      </c>
      <c r="AG110" s="7">
        <f t="shared" si="68"/>
        <v>1310911</v>
      </c>
      <c r="AH110" s="7">
        <f t="shared" si="68"/>
        <v>1364724</v>
      </c>
      <c r="AI110" s="7">
        <f t="shared" si="68"/>
        <v>1239563</v>
      </c>
      <c r="AJ110" s="7">
        <f t="shared" si="68"/>
        <v>1348319</v>
      </c>
      <c r="AK110" s="7">
        <f t="shared" si="68"/>
        <v>1390600</v>
      </c>
      <c r="AL110" s="7">
        <f t="shared" si="68"/>
        <v>1488375</v>
      </c>
      <c r="AM110" s="7">
        <f t="shared" si="68"/>
        <v>1613308</v>
      </c>
      <c r="AN110" s="7">
        <f t="shared" si="68"/>
        <v>1693201</v>
      </c>
      <c r="AO110" s="7">
        <f t="shared" si="68"/>
        <v>1716596</v>
      </c>
      <c r="AP110" s="7">
        <f t="shared" si="68"/>
        <v>1607221</v>
      </c>
      <c r="AQ110" s="7">
        <f t="shared" si="68"/>
        <v>1616199</v>
      </c>
      <c r="AR110" s="7">
        <f t="shared" si="68"/>
        <v>0</v>
      </c>
      <c r="AS110" s="7">
        <f t="shared" si="68"/>
        <v>0</v>
      </c>
    </row>
    <row r="111" spans="1:45" s="5" customFormat="1" x14ac:dyDescent="0.2">
      <c r="A111" s="23" t="s">
        <v>123</v>
      </c>
      <c r="B111" s="4">
        <f>Y111</f>
        <v>26682</v>
      </c>
      <c r="C111" s="4">
        <f t="shared" si="64"/>
        <v>23083</v>
      </c>
      <c r="D111" s="4">
        <f t="shared" si="65"/>
        <v>20520</v>
      </c>
      <c r="E111" s="4">
        <f t="shared" si="66"/>
        <v>20828</v>
      </c>
      <c r="F111" s="4">
        <f>AO111</f>
        <v>21600</v>
      </c>
      <c r="V111" s="6">
        <v>24702</v>
      </c>
      <c r="W111" s="6">
        <v>25380</v>
      </c>
      <c r="X111" s="6">
        <v>26239</v>
      </c>
      <c r="Y111" s="6">
        <v>26682</v>
      </c>
      <c r="Z111" s="6">
        <v>26672</v>
      </c>
      <c r="AA111" s="6">
        <v>22990</v>
      </c>
      <c r="AB111" s="6">
        <v>23345</v>
      </c>
      <c r="AC111" s="6">
        <v>23083</v>
      </c>
      <c r="AD111" s="6">
        <v>22861</v>
      </c>
      <c r="AE111" s="6">
        <v>23763</v>
      </c>
      <c r="AF111" s="6">
        <v>20000</v>
      </c>
      <c r="AG111" s="6">
        <v>20520</v>
      </c>
      <c r="AH111" s="6">
        <v>20586</v>
      </c>
      <c r="AI111" s="6">
        <v>21128</v>
      </c>
      <c r="AJ111" s="6">
        <v>20368</v>
      </c>
      <c r="AK111" s="6">
        <v>20828</v>
      </c>
      <c r="AL111" s="6">
        <v>20704</v>
      </c>
      <c r="AM111" s="6">
        <v>21116</v>
      </c>
      <c r="AN111" s="6">
        <v>20217</v>
      </c>
      <c r="AO111" s="6">
        <v>21600</v>
      </c>
      <c r="AP111" s="6">
        <v>21727</v>
      </c>
      <c r="AQ111" s="6">
        <v>21928</v>
      </c>
    </row>
    <row r="112" spans="1:45" x14ac:dyDescent="0.2">
      <c r="A112" s="21" t="s">
        <v>124</v>
      </c>
      <c r="B112" s="7">
        <f>Y112</f>
        <v>1142759</v>
      </c>
      <c r="C112" s="7">
        <f t="shared" si="64"/>
        <v>1191556</v>
      </c>
      <c r="D112" s="7">
        <f t="shared" si="65"/>
        <v>1331431</v>
      </c>
      <c r="E112" s="7">
        <f t="shared" si="66"/>
        <v>1411428</v>
      </c>
      <c r="F112" s="7">
        <f>AO112</f>
        <v>1738196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7">
        <f>SUM(V111,V110)</f>
        <v>1221168</v>
      </c>
      <c r="W112" s="7">
        <f>SUM(W111,W110)</f>
        <v>1200658</v>
      </c>
      <c r="X112" s="7">
        <f t="shared" ref="X112:AS112" si="69">SUM(X111,X110)</f>
        <v>1199826</v>
      </c>
      <c r="Y112" s="7">
        <f t="shared" si="69"/>
        <v>1142759</v>
      </c>
      <c r="Z112" s="7">
        <f t="shared" si="69"/>
        <v>1186752</v>
      </c>
      <c r="AA112" s="7">
        <f t="shared" si="69"/>
        <v>1133100</v>
      </c>
      <c r="AB112" s="7">
        <f t="shared" si="69"/>
        <v>1117173</v>
      </c>
      <c r="AC112" s="7">
        <f t="shared" si="69"/>
        <v>1191556</v>
      </c>
      <c r="AD112" s="7">
        <f t="shared" si="69"/>
        <v>1194143</v>
      </c>
      <c r="AE112" s="7">
        <f t="shared" si="69"/>
        <v>1228887</v>
      </c>
      <c r="AF112" s="7">
        <f t="shared" si="69"/>
        <v>1257730</v>
      </c>
      <c r="AG112" s="7">
        <f t="shared" si="69"/>
        <v>1331431</v>
      </c>
      <c r="AH112" s="7">
        <f t="shared" si="69"/>
        <v>1385310</v>
      </c>
      <c r="AI112" s="7">
        <f t="shared" si="69"/>
        <v>1260691</v>
      </c>
      <c r="AJ112" s="7">
        <f t="shared" si="69"/>
        <v>1368687</v>
      </c>
      <c r="AK112" s="7">
        <f t="shared" si="69"/>
        <v>1411428</v>
      </c>
      <c r="AL112" s="7">
        <f t="shared" si="69"/>
        <v>1509079</v>
      </c>
      <c r="AM112" s="7">
        <f t="shared" si="69"/>
        <v>1634424</v>
      </c>
      <c r="AN112" s="7">
        <f t="shared" si="69"/>
        <v>1713418</v>
      </c>
      <c r="AO112" s="7">
        <f t="shared" si="69"/>
        <v>1738196</v>
      </c>
      <c r="AP112" s="7">
        <f t="shared" si="69"/>
        <v>1628948</v>
      </c>
      <c r="AQ112" s="7">
        <f t="shared" si="69"/>
        <v>1638127</v>
      </c>
      <c r="AR112" s="7">
        <f t="shared" si="69"/>
        <v>0</v>
      </c>
      <c r="AS112" s="7">
        <f t="shared" si="69"/>
        <v>0</v>
      </c>
    </row>
    <row r="113" spans="1:45" x14ac:dyDescent="0.2">
      <c r="A113" s="21" t="s">
        <v>125</v>
      </c>
      <c r="B113" s="7">
        <f>Y113</f>
        <v>2393790</v>
      </c>
      <c r="C113" s="7">
        <f t="shared" si="64"/>
        <v>2378078</v>
      </c>
      <c r="D113" s="7">
        <f t="shared" si="65"/>
        <v>2604263</v>
      </c>
      <c r="E113" s="7">
        <f t="shared" si="66"/>
        <v>3407623</v>
      </c>
      <c r="F113" s="7">
        <f>AO113</f>
        <v>3720707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7">
        <f>SUM(V112,V103)</f>
        <v>2927968</v>
      </c>
      <c r="W113" s="7">
        <f>SUM(W112,W103)</f>
        <v>2488585</v>
      </c>
      <c r="X113" s="7">
        <f t="shared" ref="X113:AS113" si="70">SUM(X112,X103)</f>
        <v>2422767</v>
      </c>
      <c r="Y113" s="7">
        <f t="shared" si="70"/>
        <v>2393790</v>
      </c>
      <c r="Z113" s="7">
        <f t="shared" si="70"/>
        <v>2419816</v>
      </c>
      <c r="AA113" s="7">
        <f t="shared" si="70"/>
        <v>2307597</v>
      </c>
      <c r="AB113" s="7">
        <f t="shared" si="70"/>
        <v>2316782</v>
      </c>
      <c r="AC113" s="7">
        <f t="shared" si="70"/>
        <v>2378078</v>
      </c>
      <c r="AD113" s="7">
        <f t="shared" si="70"/>
        <v>2445915</v>
      </c>
      <c r="AE113" s="7">
        <f t="shared" si="70"/>
        <v>2498638</v>
      </c>
      <c r="AF113" s="7">
        <f t="shared" si="70"/>
        <v>2511411</v>
      </c>
      <c r="AG113" s="7">
        <f t="shared" si="70"/>
        <v>2604263</v>
      </c>
      <c r="AH113" s="7">
        <f t="shared" si="70"/>
        <v>2676563</v>
      </c>
      <c r="AI113" s="7">
        <f t="shared" si="70"/>
        <v>3283940</v>
      </c>
      <c r="AJ113" s="7">
        <f t="shared" si="70"/>
        <v>3365413</v>
      </c>
      <c r="AK113" s="7">
        <f t="shared" si="70"/>
        <v>3407623</v>
      </c>
      <c r="AL113" s="7">
        <f t="shared" si="70"/>
        <v>3503142</v>
      </c>
      <c r="AM113" s="7">
        <f t="shared" si="70"/>
        <v>3623768</v>
      </c>
      <c r="AN113" s="7">
        <f t="shared" si="70"/>
        <v>3710761</v>
      </c>
      <c r="AO113" s="7">
        <f t="shared" si="70"/>
        <v>3720707</v>
      </c>
      <c r="AP113" s="7">
        <f t="shared" si="70"/>
        <v>3978204</v>
      </c>
      <c r="AQ113" s="7">
        <f t="shared" si="70"/>
        <v>3993544</v>
      </c>
      <c r="AR113" s="7">
        <f t="shared" si="70"/>
        <v>0</v>
      </c>
      <c r="AS113" s="7">
        <f t="shared" si="70"/>
        <v>0</v>
      </c>
    </row>
    <row r="116" spans="1:45" ht="16" x14ac:dyDescent="0.2">
      <c r="A116" s="17" t="s">
        <v>126</v>
      </c>
      <c r="B116" s="1"/>
      <c r="C116" s="1"/>
      <c r="D116" s="3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">
      <c r="B117" s="2" t="s">
        <v>3</v>
      </c>
      <c r="C117" s="2" t="s">
        <v>4</v>
      </c>
      <c r="D117" s="39" t="s">
        <v>5</v>
      </c>
      <c r="E117" s="2" t="s">
        <v>6</v>
      </c>
      <c r="F117" s="2" t="s">
        <v>7</v>
      </c>
      <c r="G117" s="2" t="s">
        <v>8</v>
      </c>
      <c r="I117" s="2" t="s">
        <v>9</v>
      </c>
      <c r="J117" s="2" t="s">
        <v>10</v>
      </c>
      <c r="K117" s="2" t="s">
        <v>11</v>
      </c>
      <c r="L117" s="2" t="s">
        <v>12</v>
      </c>
      <c r="M117" s="2" t="s">
        <v>13</v>
      </c>
      <c r="N117" s="2" t="s">
        <v>14</v>
      </c>
      <c r="O117" s="2" t="s">
        <v>15</v>
      </c>
      <c r="P117" s="2" t="s">
        <v>16</v>
      </c>
      <c r="Q117" s="2" t="s">
        <v>17</v>
      </c>
      <c r="R117" s="2" t="s">
        <v>18</v>
      </c>
      <c r="S117" s="2" t="s">
        <v>19</v>
      </c>
      <c r="T117" s="2" t="s">
        <v>20</v>
      </c>
      <c r="V117" s="2" t="s">
        <v>21</v>
      </c>
      <c r="W117" s="2" t="s">
        <v>22</v>
      </c>
      <c r="X117" s="2" t="s">
        <v>23</v>
      </c>
      <c r="Y117" s="2" t="s">
        <v>24</v>
      </c>
      <c r="Z117" s="2" t="s">
        <v>25</v>
      </c>
      <c r="AA117" s="2" t="s">
        <v>26</v>
      </c>
      <c r="AB117" s="2" t="s">
        <v>27</v>
      </c>
      <c r="AC117" s="2" t="s">
        <v>28</v>
      </c>
      <c r="AD117" s="2" t="s">
        <v>29</v>
      </c>
      <c r="AE117" s="2" t="s">
        <v>30</v>
      </c>
      <c r="AF117" s="2" t="s">
        <v>31</v>
      </c>
      <c r="AG117" s="2" t="s">
        <v>32</v>
      </c>
      <c r="AH117" s="2" t="s">
        <v>33</v>
      </c>
      <c r="AI117" s="2" t="s">
        <v>34</v>
      </c>
      <c r="AJ117" s="2" t="s">
        <v>35</v>
      </c>
      <c r="AK117" s="2" t="s">
        <v>36</v>
      </c>
      <c r="AL117" s="2" t="s">
        <v>37</v>
      </c>
      <c r="AM117" s="2" t="s">
        <v>38</v>
      </c>
      <c r="AN117" s="2" t="s">
        <v>39</v>
      </c>
      <c r="AO117" s="2" t="s">
        <v>40</v>
      </c>
      <c r="AP117" s="2" t="s">
        <v>41</v>
      </c>
      <c r="AQ117" s="2" t="s">
        <v>42</v>
      </c>
      <c r="AR117" s="2" t="s">
        <v>43</v>
      </c>
      <c r="AS117" s="2" t="s">
        <v>44</v>
      </c>
    </row>
    <row r="119" spans="1:45" x14ac:dyDescent="0.2">
      <c r="A119" s="19" t="s">
        <v>127</v>
      </c>
    </row>
    <row r="120" spans="1:45" x14ac:dyDescent="0.2">
      <c r="A120" s="23" t="s">
        <v>128</v>
      </c>
      <c r="B120" s="4">
        <f>SUM(V50,W50:Y50)</f>
        <v>-78298</v>
      </c>
      <c r="C120" s="4">
        <f>SUM(Z120:AC120)</f>
        <v>-9547</v>
      </c>
      <c r="D120" s="4">
        <f>SUM(AG120,AF120,AE120,AD120)</f>
        <v>98318</v>
      </c>
      <c r="E120" s="4">
        <f>SUM(AH120,AI120,AJ120,AK120)</f>
        <v>241124</v>
      </c>
      <c r="F120" s="4">
        <f>SUM(AL120,AM120,AN120,AO120)</f>
        <v>303335</v>
      </c>
      <c r="I120" s="4">
        <f>SUM(V50:W50)</f>
        <v>-18865</v>
      </c>
      <c r="J120" s="4"/>
      <c r="K120" s="4">
        <f>SUM(Z50,AA50)</f>
        <v>-35969</v>
      </c>
      <c r="M120" s="4">
        <f>SUM(AD50:AE50)</f>
        <v>13066</v>
      </c>
      <c r="O120" s="4">
        <f>SUM(AI50,AH50)</f>
        <v>103647</v>
      </c>
      <c r="Q120" s="4">
        <f>SUM(AL50,AM50)</f>
        <v>134102</v>
      </c>
      <c r="S120" s="4">
        <f>SUM(AP50,AQ50)</f>
        <v>107059</v>
      </c>
      <c r="V120" s="4">
        <f t="shared" ref="V120:AQ120" si="71">V50</f>
        <v>13580</v>
      </c>
      <c r="W120" s="4">
        <f t="shared" si="71"/>
        <v>-32445</v>
      </c>
      <c r="X120" s="4">
        <f t="shared" si="71"/>
        <v>-1010</v>
      </c>
      <c r="Y120" s="4">
        <f t="shared" si="71"/>
        <v>-58423</v>
      </c>
      <c r="Z120" s="4">
        <f t="shared" si="71"/>
        <v>896</v>
      </c>
      <c r="AA120" s="4">
        <f t="shared" si="71"/>
        <v>-36865</v>
      </c>
      <c r="AB120" s="4">
        <f t="shared" si="71"/>
        <v>4472</v>
      </c>
      <c r="AC120" s="4">
        <f t="shared" si="71"/>
        <v>21950</v>
      </c>
      <c r="AD120" s="4">
        <f t="shared" si="71"/>
        <v>-12037</v>
      </c>
      <c r="AE120" s="4">
        <f t="shared" si="71"/>
        <v>25103</v>
      </c>
      <c r="AF120" s="4">
        <f t="shared" si="71"/>
        <v>40345</v>
      </c>
      <c r="AG120" s="4">
        <f t="shared" si="71"/>
        <v>44907</v>
      </c>
      <c r="AH120" s="4">
        <f t="shared" si="71"/>
        <v>51787</v>
      </c>
      <c r="AI120" s="4">
        <f t="shared" si="71"/>
        <v>51860</v>
      </c>
      <c r="AJ120" s="4">
        <f t="shared" si="71"/>
        <v>78910</v>
      </c>
      <c r="AK120" s="4">
        <f t="shared" si="71"/>
        <v>58567</v>
      </c>
      <c r="AL120" s="4">
        <f t="shared" si="71"/>
        <v>65350</v>
      </c>
      <c r="AM120" s="4">
        <f t="shared" si="71"/>
        <v>68752</v>
      </c>
      <c r="AN120" s="4">
        <f t="shared" si="71"/>
        <v>66223</v>
      </c>
      <c r="AO120" s="4">
        <f t="shared" si="71"/>
        <v>103010</v>
      </c>
      <c r="AP120" s="4">
        <f t="shared" si="71"/>
        <v>53586</v>
      </c>
      <c r="AQ120" s="4">
        <f t="shared" si="71"/>
        <v>53473</v>
      </c>
    </row>
    <row r="121" spans="1:45" s="5" customFormat="1" ht="29" x14ac:dyDescent="0.2">
      <c r="A121" s="24" t="s">
        <v>129</v>
      </c>
      <c r="D121" s="6"/>
    </row>
    <row r="122" spans="1:45" s="5" customFormat="1" x14ac:dyDescent="0.2">
      <c r="A122" s="23" t="s">
        <v>130</v>
      </c>
      <c r="B122" s="6">
        <v>84153</v>
      </c>
      <c r="C122" s="6">
        <v>66763</v>
      </c>
      <c r="D122" s="6">
        <v>55763</v>
      </c>
      <c r="E122" s="6">
        <v>56277</v>
      </c>
      <c r="F122" s="6">
        <v>49517</v>
      </c>
      <c r="I122" s="6">
        <v>42919</v>
      </c>
      <c r="K122" s="6">
        <v>33251</v>
      </c>
      <c r="M122" s="6">
        <v>28368</v>
      </c>
      <c r="O122" s="6">
        <v>26263</v>
      </c>
      <c r="Q122" s="6">
        <v>24182</v>
      </c>
      <c r="S122" s="6">
        <v>37162</v>
      </c>
      <c r="V122" s="6">
        <v>21810</v>
      </c>
      <c r="W122" s="4">
        <f>I122-V122</f>
        <v>21109</v>
      </c>
      <c r="X122" s="6">
        <v>21333</v>
      </c>
      <c r="Y122" s="4">
        <f>B122-SUM(V122:X122)</f>
        <v>19901</v>
      </c>
      <c r="Z122" s="6">
        <v>16837</v>
      </c>
      <c r="AA122" s="4">
        <f>K122-Z122</f>
        <v>16414</v>
      </c>
      <c r="AB122" s="6">
        <v>17361</v>
      </c>
      <c r="AC122" s="4">
        <f>C122-SUM(Z122:AB122)</f>
        <v>16151</v>
      </c>
      <c r="AD122" s="6">
        <v>14463</v>
      </c>
      <c r="AE122" s="4">
        <f>M122-AD122</f>
        <v>13905</v>
      </c>
      <c r="AF122" s="6">
        <v>13645</v>
      </c>
      <c r="AG122" s="4">
        <f>D122-SUM(AD122,AE122,AF122)</f>
        <v>13750</v>
      </c>
      <c r="AH122" s="6">
        <v>12744</v>
      </c>
      <c r="AI122" s="4">
        <f>O122-AH122</f>
        <v>13519</v>
      </c>
      <c r="AJ122" s="6">
        <v>14716</v>
      </c>
      <c r="AK122" s="4">
        <f>E122-SUM(AH122,AI122,AJ122)</f>
        <v>15298</v>
      </c>
      <c r="AL122" s="6">
        <v>12068</v>
      </c>
      <c r="AM122" s="4">
        <f>Q122-AL122</f>
        <v>12114</v>
      </c>
      <c r="AN122" s="6">
        <v>12039</v>
      </c>
      <c r="AO122" s="4">
        <f>F122-SUM(AL122,AM122,AN122)</f>
        <v>13296</v>
      </c>
      <c r="AP122" s="6">
        <v>18536</v>
      </c>
      <c r="AQ122" s="4">
        <f>S122-AP122</f>
        <v>18626</v>
      </c>
    </row>
    <row r="123" spans="1:45" s="5" customFormat="1" x14ac:dyDescent="0.2">
      <c r="A123" s="23" t="s">
        <v>131</v>
      </c>
      <c r="B123" s="6">
        <v>17107</v>
      </c>
      <c r="C123" s="6">
        <v>16257</v>
      </c>
      <c r="D123" s="6">
        <v>16454</v>
      </c>
      <c r="E123" s="6">
        <v>20597</v>
      </c>
      <c r="F123" s="6">
        <v>11915</v>
      </c>
      <c r="I123" s="6">
        <v>8647</v>
      </c>
      <c r="K123" s="6">
        <v>8234</v>
      </c>
      <c r="M123" s="6">
        <v>8141</v>
      </c>
      <c r="O123" s="6">
        <v>7634</v>
      </c>
      <c r="Q123" s="6">
        <v>5843</v>
      </c>
      <c r="S123" s="6">
        <v>6576</v>
      </c>
      <c r="V123" s="6">
        <v>4330</v>
      </c>
      <c r="W123" s="4">
        <f t="shared" ref="W123:W143" si="72">I123-V123</f>
        <v>4317</v>
      </c>
      <c r="X123" s="6">
        <v>4315</v>
      </c>
      <c r="Y123" s="4">
        <f t="shared" ref="Y123:Y143" si="73">B123-SUM(V123:X123)</f>
        <v>4145</v>
      </c>
      <c r="Z123" s="6">
        <v>4113</v>
      </c>
      <c r="AA123" s="4">
        <f t="shared" ref="AA123:AA143" si="74">K123-Z123</f>
        <v>4121</v>
      </c>
      <c r="AB123" s="6">
        <v>4016</v>
      </c>
      <c r="AC123" s="4">
        <f t="shared" ref="AC123:AC143" si="75">C123-SUM(Z123:AB123)</f>
        <v>4007</v>
      </c>
      <c r="AD123" s="6">
        <v>3972</v>
      </c>
      <c r="AE123" s="4">
        <f>M123-AD123</f>
        <v>4169</v>
      </c>
      <c r="AF123" s="6">
        <v>4056</v>
      </c>
      <c r="AG123" s="4">
        <f t="shared" ref="AG123:AG143" si="76">D123-SUM(AD123,AE123,AF123)</f>
        <v>4257</v>
      </c>
      <c r="AH123" s="6">
        <v>3814</v>
      </c>
      <c r="AI123" s="4">
        <f t="shared" ref="AI123:AI143" si="77">O123-AH123</f>
        <v>3820</v>
      </c>
      <c r="AJ123" s="6">
        <v>3847</v>
      </c>
      <c r="AK123" s="4">
        <f t="shared" ref="AK123:AK143" si="78">E123-SUM(AH123,AI123,AJ123)</f>
        <v>9116</v>
      </c>
      <c r="AL123" s="6">
        <v>2923</v>
      </c>
      <c r="AM123" s="4">
        <f t="shared" ref="AM123:AM143" si="79">Q123-AL123</f>
        <v>2920</v>
      </c>
      <c r="AN123" s="6">
        <v>3013</v>
      </c>
      <c r="AO123" s="4">
        <f t="shared" ref="AO123:AO143" si="80">F123-SUM(AL123,AM123,AN123)</f>
        <v>3059</v>
      </c>
      <c r="AP123" s="6">
        <v>3309</v>
      </c>
      <c r="AQ123" s="4">
        <f t="shared" ref="AQ123:AQ143" si="81">S123-AP123</f>
        <v>3267</v>
      </c>
    </row>
    <row r="124" spans="1:45" s="5" customFormat="1" x14ac:dyDescent="0.2">
      <c r="A124" s="23" t="s">
        <v>132</v>
      </c>
      <c r="B124" s="6">
        <v>23618</v>
      </c>
      <c r="C124" s="6">
        <v>21881</v>
      </c>
      <c r="D124" s="6">
        <v>28357</v>
      </c>
      <c r="E124" s="6">
        <v>43874</v>
      </c>
      <c r="F124" s="6">
        <v>62449</v>
      </c>
      <c r="I124" s="6">
        <v>12586</v>
      </c>
      <c r="K124" s="6">
        <v>12532</v>
      </c>
      <c r="M124" s="6">
        <v>13694</v>
      </c>
      <c r="O124" s="6">
        <v>21845</v>
      </c>
      <c r="Q124" s="6">
        <v>33396</v>
      </c>
      <c r="S124" s="6">
        <v>32316</v>
      </c>
      <c r="V124" s="6">
        <v>6498</v>
      </c>
      <c r="W124" s="4">
        <f t="shared" si="72"/>
        <v>6088</v>
      </c>
      <c r="X124" s="6">
        <v>5665</v>
      </c>
      <c r="Y124" s="4">
        <f t="shared" si="73"/>
        <v>5367</v>
      </c>
      <c r="Z124" s="6">
        <v>6127</v>
      </c>
      <c r="AA124" s="4">
        <f t="shared" si="74"/>
        <v>6405</v>
      </c>
      <c r="AB124" s="6">
        <v>4884</v>
      </c>
      <c r="AC124" s="4">
        <f t="shared" si="75"/>
        <v>4465</v>
      </c>
      <c r="AD124" s="6">
        <v>6919</v>
      </c>
      <c r="AE124" s="4">
        <f t="shared" ref="AE124:AE143" si="82">M124-AD124</f>
        <v>6775</v>
      </c>
      <c r="AF124" s="6">
        <v>6837</v>
      </c>
      <c r="AG124" s="4">
        <f t="shared" si="76"/>
        <v>7826</v>
      </c>
      <c r="AH124" s="6">
        <v>11429</v>
      </c>
      <c r="AI124" s="4">
        <f t="shared" si="77"/>
        <v>10416</v>
      </c>
      <c r="AJ124" s="6">
        <v>10222</v>
      </c>
      <c r="AK124" s="4">
        <f t="shared" si="78"/>
        <v>11807</v>
      </c>
      <c r="AL124" s="6">
        <v>16558</v>
      </c>
      <c r="AM124" s="4">
        <f t="shared" si="79"/>
        <v>16838</v>
      </c>
      <c r="AN124" s="6">
        <v>14423</v>
      </c>
      <c r="AO124" s="4">
        <f t="shared" si="80"/>
        <v>14630</v>
      </c>
      <c r="AP124" s="6">
        <v>20070</v>
      </c>
      <c r="AQ124" s="4">
        <f t="shared" si="81"/>
        <v>12246</v>
      </c>
    </row>
    <row r="125" spans="1:45" s="5" customFormat="1" x14ac:dyDescent="0.2">
      <c r="A125" s="22" t="s">
        <v>60</v>
      </c>
      <c r="B125" s="6"/>
      <c r="C125" s="6"/>
      <c r="D125" s="6"/>
      <c r="E125" s="6"/>
      <c r="F125" s="6"/>
      <c r="I125" s="6"/>
      <c r="K125" s="6"/>
      <c r="M125" s="6"/>
      <c r="O125" s="6"/>
      <c r="Q125" s="6"/>
      <c r="S125" s="6"/>
      <c r="V125" s="35">
        <f t="shared" ref="V125:AQ125" si="83">V124/V10</f>
        <v>1.2506399473414758E-2</v>
      </c>
      <c r="W125" s="35">
        <f t="shared" si="83"/>
        <v>1.2439417096434088E-2</v>
      </c>
      <c r="X125" s="35">
        <f t="shared" si="83"/>
        <v>1.1633661841383799E-2</v>
      </c>
      <c r="Y125" s="35">
        <f t="shared" si="83"/>
        <v>1.1051464365359311E-2</v>
      </c>
      <c r="Z125" s="35">
        <f t="shared" si="83"/>
        <v>1.288996509800539E-2</v>
      </c>
      <c r="AA125" s="35">
        <f t="shared" si="83"/>
        <v>1.4830439796055405E-2</v>
      </c>
      <c r="AB125" s="35">
        <f t="shared" si="83"/>
        <v>1.1604809200209096E-2</v>
      </c>
      <c r="AC125" s="35">
        <f t="shared" si="83"/>
        <v>9.5509860082867905E-3</v>
      </c>
      <c r="AD125" s="35">
        <f t="shared" si="83"/>
        <v>1.3988572999769518E-2</v>
      </c>
      <c r="AE125" s="35">
        <f t="shared" si="83"/>
        <v>1.2521485205241467E-2</v>
      </c>
      <c r="AF125" s="35">
        <f t="shared" si="83"/>
        <v>1.2192120861954592E-2</v>
      </c>
      <c r="AG125" s="35">
        <f t="shared" si="83"/>
        <v>1.3559192824335166E-2</v>
      </c>
      <c r="AH125" s="35">
        <f t="shared" si="83"/>
        <v>1.8939682686985659E-2</v>
      </c>
      <c r="AI125" s="35">
        <f t="shared" si="83"/>
        <v>1.7101510666279188E-2</v>
      </c>
      <c r="AJ125" s="35">
        <f t="shared" si="83"/>
        <v>1.6608661460821302E-2</v>
      </c>
      <c r="AK125" s="35">
        <f t="shared" si="83"/>
        <v>1.9265285609857977E-2</v>
      </c>
      <c r="AL125" s="35">
        <f t="shared" si="83"/>
        <v>2.7271634239258439E-2</v>
      </c>
      <c r="AM125" s="35">
        <f t="shared" si="83"/>
        <v>2.7750629984458462E-2</v>
      </c>
      <c r="AN125" s="35">
        <f t="shared" si="83"/>
        <v>2.4797764882871266E-2</v>
      </c>
      <c r="AO125" s="35">
        <f t="shared" si="83"/>
        <v>2.5592269490271265E-2</v>
      </c>
      <c r="AP125" s="35">
        <f t="shared" si="83"/>
        <v>3.4191849153807102E-2</v>
      </c>
      <c r="AQ125" s="35">
        <f t="shared" si="83"/>
        <v>2.175511900828208E-2</v>
      </c>
    </row>
    <row r="126" spans="1:45" s="5" customFormat="1" x14ac:dyDescent="0.2">
      <c r="A126" s="23" t="s">
        <v>133</v>
      </c>
      <c r="B126" s="6">
        <v>18253</v>
      </c>
      <c r="C126" s="6">
        <v>3499</v>
      </c>
      <c r="D126" s="6">
        <v>3664</v>
      </c>
      <c r="E126" s="6">
        <v>5489</v>
      </c>
      <c r="F126" s="6">
        <v>7077</v>
      </c>
      <c r="I126" s="6">
        <v>4315</v>
      </c>
      <c r="K126" s="6">
        <v>1720</v>
      </c>
      <c r="M126" s="6">
        <v>1820</v>
      </c>
      <c r="O126" s="6">
        <v>1867</v>
      </c>
      <c r="Q126" s="6">
        <v>3581</v>
      </c>
      <c r="S126" s="6">
        <v>3791</v>
      </c>
      <c r="V126" s="6">
        <v>2695</v>
      </c>
      <c r="W126" s="4">
        <f t="shared" si="72"/>
        <v>1620</v>
      </c>
      <c r="X126" s="6">
        <v>13068</v>
      </c>
      <c r="Y126" s="4">
        <f t="shared" si="73"/>
        <v>870</v>
      </c>
      <c r="Z126" s="5">
        <v>839</v>
      </c>
      <c r="AA126" s="4">
        <f t="shared" si="74"/>
        <v>881</v>
      </c>
      <c r="AB126" s="6">
        <v>890</v>
      </c>
      <c r="AC126" s="4">
        <f t="shared" si="75"/>
        <v>889</v>
      </c>
      <c r="AD126" s="5">
        <v>889</v>
      </c>
      <c r="AE126" s="4">
        <f t="shared" si="82"/>
        <v>931</v>
      </c>
      <c r="AF126" s="6">
        <v>941</v>
      </c>
      <c r="AG126" s="4">
        <f t="shared" si="76"/>
        <v>903</v>
      </c>
      <c r="AH126" s="5">
        <v>888</v>
      </c>
      <c r="AI126" s="4">
        <f t="shared" si="77"/>
        <v>979</v>
      </c>
      <c r="AJ126" s="6">
        <v>1802</v>
      </c>
      <c r="AK126" s="4">
        <f t="shared" si="78"/>
        <v>1820</v>
      </c>
      <c r="AL126" s="6">
        <v>1781</v>
      </c>
      <c r="AM126" s="4">
        <f t="shared" si="79"/>
        <v>1800</v>
      </c>
      <c r="AN126" s="6">
        <v>1820</v>
      </c>
      <c r="AO126" s="4">
        <f t="shared" si="80"/>
        <v>1676</v>
      </c>
      <c r="AP126" s="6">
        <v>1849</v>
      </c>
      <c r="AQ126" s="4">
        <f t="shared" si="81"/>
        <v>1942</v>
      </c>
    </row>
    <row r="127" spans="1:45" s="5" customFormat="1" x14ac:dyDescent="0.2">
      <c r="A127" s="23" t="s">
        <v>134</v>
      </c>
      <c r="B127" s="6">
        <v>-85574</v>
      </c>
      <c r="C127" s="6">
        <v>-32635</v>
      </c>
      <c r="D127" s="6">
        <v>-34646</v>
      </c>
      <c r="E127" s="6">
        <v>-38791</v>
      </c>
      <c r="F127" s="6">
        <v>64945</v>
      </c>
      <c r="I127" s="6">
        <v>-2942</v>
      </c>
      <c r="K127" s="6">
        <v>-4061</v>
      </c>
      <c r="M127" s="6">
        <v>-2509</v>
      </c>
      <c r="O127" s="6">
        <v>-8725</v>
      </c>
      <c r="Q127" s="6">
        <v>-9664</v>
      </c>
      <c r="S127" s="6">
        <v>-18684</v>
      </c>
      <c r="V127" s="6">
        <v>2109</v>
      </c>
      <c r="W127" s="4">
        <f t="shared" si="72"/>
        <v>-5051</v>
      </c>
      <c r="X127" s="6">
        <v>-2228</v>
      </c>
      <c r="Y127" s="4">
        <f t="shared" si="73"/>
        <v>-80404</v>
      </c>
      <c r="Z127" s="6">
        <v>-4362</v>
      </c>
      <c r="AA127" s="4">
        <f t="shared" si="74"/>
        <v>301</v>
      </c>
      <c r="AB127" s="6">
        <v>-2367</v>
      </c>
      <c r="AC127" s="4">
        <f t="shared" si="75"/>
        <v>-26207</v>
      </c>
      <c r="AD127" s="6">
        <v>-4272</v>
      </c>
      <c r="AE127" s="4">
        <f t="shared" si="82"/>
        <v>1763</v>
      </c>
      <c r="AF127" s="6">
        <v>4447</v>
      </c>
      <c r="AG127" s="4">
        <f t="shared" si="76"/>
        <v>-36584</v>
      </c>
      <c r="AH127" s="6">
        <v>-1579</v>
      </c>
      <c r="AI127" s="4">
        <f t="shared" si="77"/>
        <v>-7146</v>
      </c>
      <c r="AJ127" s="6">
        <v>-8784</v>
      </c>
      <c r="AK127" s="4">
        <f t="shared" si="78"/>
        <v>-21282</v>
      </c>
      <c r="AL127" s="6">
        <v>-5461</v>
      </c>
      <c r="AM127" s="4">
        <f t="shared" si="79"/>
        <v>-4203</v>
      </c>
      <c r="AN127" s="6">
        <v>58524</v>
      </c>
      <c r="AO127" s="4">
        <f t="shared" si="80"/>
        <v>16085</v>
      </c>
      <c r="AP127" s="6">
        <v>3470</v>
      </c>
      <c r="AQ127" s="4">
        <f t="shared" si="81"/>
        <v>-22154</v>
      </c>
    </row>
    <row r="128" spans="1:45" s="5" customFormat="1" x14ac:dyDescent="0.2">
      <c r="A128" s="23" t="s">
        <v>135</v>
      </c>
      <c r="B128" s="6">
        <v>64289</v>
      </c>
      <c r="C128" s="6">
        <v>3505</v>
      </c>
      <c r="D128" s="6">
        <v>667</v>
      </c>
      <c r="E128" s="5">
        <v>597</v>
      </c>
      <c r="F128" s="5">
        <v>79</v>
      </c>
      <c r="I128" s="6">
        <v>26103</v>
      </c>
      <c r="K128" s="6">
        <v>2415</v>
      </c>
      <c r="M128" s="5">
        <v>630</v>
      </c>
      <c r="O128" s="5">
        <v>-42</v>
      </c>
      <c r="Q128" s="5">
        <v>79</v>
      </c>
      <c r="V128" s="6">
        <v>1392</v>
      </c>
      <c r="W128" s="4">
        <f t="shared" si="72"/>
        <v>24711</v>
      </c>
      <c r="X128" s="6">
        <v>2171</v>
      </c>
      <c r="Y128" s="4">
        <f t="shared" si="73"/>
        <v>36015</v>
      </c>
      <c r="Z128" s="6">
        <v>2221</v>
      </c>
      <c r="AA128" s="4">
        <f t="shared" si="74"/>
        <v>194</v>
      </c>
      <c r="AB128" s="6">
        <v>767</v>
      </c>
      <c r="AC128" s="4">
        <f t="shared" si="75"/>
        <v>323</v>
      </c>
      <c r="AD128" s="5">
        <v>18</v>
      </c>
      <c r="AE128" s="4">
        <f t="shared" si="82"/>
        <v>612</v>
      </c>
      <c r="AF128" s="5">
        <v>45</v>
      </c>
      <c r="AG128" s="4">
        <f t="shared" si="76"/>
        <v>-8</v>
      </c>
      <c r="AH128" s="5">
        <v>23</v>
      </c>
      <c r="AI128" s="4">
        <f t="shared" si="77"/>
        <v>-65</v>
      </c>
      <c r="AJ128" s="5">
        <v>698</v>
      </c>
      <c r="AK128" s="4">
        <f t="shared" si="78"/>
        <v>-59</v>
      </c>
      <c r="AL128" s="5">
        <v>79</v>
      </c>
      <c r="AM128" s="4">
        <f t="shared" si="79"/>
        <v>0</v>
      </c>
      <c r="AN128" s="5">
        <v>0</v>
      </c>
      <c r="AO128" s="4">
        <f t="shared" si="80"/>
        <v>0</v>
      </c>
      <c r="AQ128" s="4">
        <f t="shared" si="81"/>
        <v>0</v>
      </c>
    </row>
    <row r="129" spans="1:45" s="5" customFormat="1" x14ac:dyDescent="0.2">
      <c r="A129" s="25" t="s">
        <v>245</v>
      </c>
      <c r="B129" s="6">
        <v>10000</v>
      </c>
      <c r="D129" s="6"/>
      <c r="I129" s="6">
        <v>10000</v>
      </c>
      <c r="V129" s="6"/>
      <c r="W129" s="4">
        <f t="shared" si="72"/>
        <v>10000</v>
      </c>
      <c r="X129" s="6">
        <v>0</v>
      </c>
      <c r="Y129" s="4">
        <f t="shared" si="73"/>
        <v>0</v>
      </c>
      <c r="AA129" s="4"/>
      <c r="AC129" s="4"/>
      <c r="AE129" s="4"/>
      <c r="AG129" s="4"/>
      <c r="AI129" s="4"/>
      <c r="AK129" s="4"/>
      <c r="AM129" s="4"/>
      <c r="AO129" s="4"/>
      <c r="AQ129" s="4"/>
    </row>
    <row r="130" spans="1:45" s="5" customFormat="1" x14ac:dyDescent="0.2">
      <c r="A130" s="23" t="s">
        <v>247</v>
      </c>
      <c r="B130" s="6"/>
      <c r="C130" s="6">
        <v>38480</v>
      </c>
      <c r="D130" s="6"/>
      <c r="I130" s="6"/>
      <c r="K130" s="6">
        <v>38480</v>
      </c>
      <c r="V130" s="6"/>
      <c r="W130" s="4"/>
      <c r="X130" s="6"/>
      <c r="Y130" s="4"/>
      <c r="AA130" s="4">
        <f t="shared" si="74"/>
        <v>38480</v>
      </c>
      <c r="AB130" s="6">
        <v>0</v>
      </c>
      <c r="AC130" s="4">
        <f t="shared" si="75"/>
        <v>0</v>
      </c>
      <c r="AE130" s="4"/>
      <c r="AG130" s="4"/>
      <c r="AI130" s="4"/>
      <c r="AK130" s="4"/>
      <c r="AM130" s="4"/>
      <c r="AO130" s="4"/>
      <c r="AQ130" s="4"/>
    </row>
    <row r="131" spans="1:45" s="5" customFormat="1" x14ac:dyDescent="0.2">
      <c r="A131" s="23" t="s">
        <v>136</v>
      </c>
      <c r="B131" s="6">
        <v>8744</v>
      </c>
      <c r="C131" s="5">
        <v>-624</v>
      </c>
      <c r="D131" s="6">
        <v>385</v>
      </c>
      <c r="E131" s="5">
        <v>-191</v>
      </c>
      <c r="F131" s="5">
        <v>-25</v>
      </c>
      <c r="I131" s="5">
        <v>878</v>
      </c>
      <c r="K131" s="5">
        <v>-817</v>
      </c>
      <c r="M131" s="5">
        <v>922</v>
      </c>
      <c r="O131" s="5">
        <v>-171</v>
      </c>
      <c r="Q131" s="5">
        <v>-25</v>
      </c>
      <c r="S131" s="5">
        <v>462</v>
      </c>
      <c r="V131" s="6">
        <v>-45</v>
      </c>
      <c r="W131" s="4">
        <f t="shared" si="72"/>
        <v>923</v>
      </c>
      <c r="X131" s="5">
        <v>73</v>
      </c>
      <c r="Y131" s="4">
        <f t="shared" si="73"/>
        <v>7793</v>
      </c>
      <c r="Z131" s="5">
        <v>390</v>
      </c>
      <c r="AA131" s="4">
        <f t="shared" si="74"/>
        <v>-1207</v>
      </c>
      <c r="AB131" s="5">
        <v>-62</v>
      </c>
      <c r="AC131" s="4">
        <f t="shared" si="75"/>
        <v>255</v>
      </c>
      <c r="AD131" s="6">
        <v>1070</v>
      </c>
      <c r="AE131" s="4">
        <f t="shared" si="82"/>
        <v>-148</v>
      </c>
      <c r="AF131" s="5">
        <v>-12</v>
      </c>
      <c r="AG131" s="4">
        <f t="shared" si="76"/>
        <v>-525</v>
      </c>
      <c r="AH131" s="5">
        <v>-194</v>
      </c>
      <c r="AI131" s="4">
        <f t="shared" si="77"/>
        <v>23</v>
      </c>
      <c r="AJ131" s="5">
        <v>0</v>
      </c>
      <c r="AK131" s="4">
        <f t="shared" si="78"/>
        <v>-20</v>
      </c>
      <c r="AL131" s="5">
        <v>-25</v>
      </c>
      <c r="AM131" s="4">
        <f t="shared" si="79"/>
        <v>0</v>
      </c>
      <c r="AN131" s="5">
        <v>0</v>
      </c>
      <c r="AO131" s="4">
        <f t="shared" si="80"/>
        <v>0</v>
      </c>
      <c r="AP131" s="5">
        <v>462</v>
      </c>
      <c r="AQ131" s="4">
        <f t="shared" si="81"/>
        <v>0</v>
      </c>
    </row>
    <row r="132" spans="1:45" s="5" customFormat="1" x14ac:dyDescent="0.2">
      <c r="A132" s="23" t="s">
        <v>137</v>
      </c>
      <c r="B132" s="6">
        <v>2930</v>
      </c>
      <c r="C132" s="6">
        <v>11678</v>
      </c>
      <c r="D132" s="6">
        <v>-169</v>
      </c>
      <c r="E132" s="5">
        <v>-895</v>
      </c>
      <c r="F132" s="6">
        <v>-2237</v>
      </c>
      <c r="I132" s="6">
        <v>13913</v>
      </c>
      <c r="K132" s="5">
        <v>194</v>
      </c>
      <c r="M132" s="5">
        <v>-199</v>
      </c>
      <c r="O132" s="5">
        <v>-591</v>
      </c>
      <c r="Q132" s="5">
        <v>-354</v>
      </c>
      <c r="S132" s="6">
        <v>-3538</v>
      </c>
      <c r="V132" s="6">
        <v>391</v>
      </c>
      <c r="W132" s="4">
        <f t="shared" si="72"/>
        <v>13522</v>
      </c>
      <c r="X132" s="6">
        <v>-10193</v>
      </c>
      <c r="Y132" s="4">
        <f t="shared" si="73"/>
        <v>-790</v>
      </c>
      <c r="Z132" s="5">
        <v>137</v>
      </c>
      <c r="AA132" s="4">
        <f t="shared" si="74"/>
        <v>57</v>
      </c>
      <c r="AB132" s="5">
        <v>1954</v>
      </c>
      <c r="AC132" s="4">
        <f t="shared" si="75"/>
        <v>9530</v>
      </c>
      <c r="AD132" s="5">
        <v>56</v>
      </c>
      <c r="AE132" s="4">
        <f t="shared" si="82"/>
        <v>-255</v>
      </c>
      <c r="AF132" s="5">
        <v>-119</v>
      </c>
      <c r="AG132" s="4">
        <f t="shared" si="76"/>
        <v>149</v>
      </c>
      <c r="AH132" s="5">
        <v>-322</v>
      </c>
      <c r="AI132" s="4">
        <f t="shared" si="77"/>
        <v>-269</v>
      </c>
      <c r="AJ132" s="5">
        <v>-247</v>
      </c>
      <c r="AK132" s="4">
        <f t="shared" si="78"/>
        <v>-57</v>
      </c>
      <c r="AL132" s="5">
        <v>-338</v>
      </c>
      <c r="AM132" s="4">
        <f t="shared" si="79"/>
        <v>-16</v>
      </c>
      <c r="AN132" s="5">
        <v>-177</v>
      </c>
      <c r="AO132" s="4">
        <f t="shared" si="80"/>
        <v>-1706</v>
      </c>
      <c r="AP132" s="5">
        <v>175</v>
      </c>
      <c r="AQ132" s="4">
        <f t="shared" si="81"/>
        <v>-3713</v>
      </c>
    </row>
    <row r="133" spans="1:45" s="5" customFormat="1" x14ac:dyDescent="0.2">
      <c r="A133" s="24" t="s">
        <v>138</v>
      </c>
      <c r="D133" s="6"/>
      <c r="W133" s="4"/>
      <c r="Y133" s="4"/>
      <c r="AA133" s="4"/>
      <c r="AC133" s="4"/>
      <c r="AE133" s="4"/>
      <c r="AG133" s="4"/>
      <c r="AI133" s="4"/>
      <c r="AK133" s="4"/>
      <c r="AM133" s="4"/>
      <c r="AO133" s="4"/>
      <c r="AQ133" s="4"/>
    </row>
    <row r="134" spans="1:45" s="5" customFormat="1" x14ac:dyDescent="0.2">
      <c r="A134" s="23" t="s">
        <v>139</v>
      </c>
      <c r="B134" s="6">
        <v>60242</v>
      </c>
      <c r="C134" s="6">
        <v>5064</v>
      </c>
      <c r="D134" s="6">
        <v>-19494</v>
      </c>
      <c r="E134" s="6">
        <v>-49138</v>
      </c>
      <c r="F134" s="6">
        <v>-4215</v>
      </c>
      <c r="I134" s="6">
        <v>29549</v>
      </c>
      <c r="K134" s="6">
        <v>28924</v>
      </c>
      <c r="M134" s="6">
        <v>-34681</v>
      </c>
      <c r="O134" s="6">
        <v>-13557</v>
      </c>
      <c r="Q134" s="6">
        <v>18789</v>
      </c>
      <c r="S134" s="6">
        <v>23280</v>
      </c>
      <c r="V134" s="6">
        <v>-2078</v>
      </c>
      <c r="W134" s="4">
        <f t="shared" si="72"/>
        <v>31627</v>
      </c>
      <c r="X134" s="6">
        <v>11075</v>
      </c>
      <c r="Y134" s="4">
        <f t="shared" si="73"/>
        <v>19618</v>
      </c>
      <c r="Z134" s="6">
        <v>-8816</v>
      </c>
      <c r="AA134" s="4">
        <f t="shared" si="74"/>
        <v>37740</v>
      </c>
      <c r="AB134" s="6">
        <v>-16654</v>
      </c>
      <c r="AC134" s="4">
        <f t="shared" si="75"/>
        <v>-7206</v>
      </c>
      <c r="AD134" s="6">
        <v>-22497</v>
      </c>
      <c r="AE134" s="4">
        <f t="shared" si="82"/>
        <v>-12184</v>
      </c>
      <c r="AF134" s="6">
        <v>-3151</v>
      </c>
      <c r="AG134" s="4">
        <f t="shared" si="76"/>
        <v>18338</v>
      </c>
      <c r="AH134" s="6">
        <v>-36826</v>
      </c>
      <c r="AI134" s="4">
        <f t="shared" si="77"/>
        <v>23269</v>
      </c>
      <c r="AJ134" s="6">
        <v>-17612</v>
      </c>
      <c r="AK134" s="4">
        <f t="shared" si="78"/>
        <v>-17969</v>
      </c>
      <c r="AL134" s="6">
        <v>6414</v>
      </c>
      <c r="AM134" s="4">
        <f t="shared" si="79"/>
        <v>12375</v>
      </c>
      <c r="AN134" s="6">
        <v>-30916</v>
      </c>
      <c r="AO134" s="4">
        <f t="shared" si="80"/>
        <v>7912</v>
      </c>
      <c r="AP134" s="6">
        <v>-17623</v>
      </c>
      <c r="AQ134" s="4">
        <f t="shared" si="81"/>
        <v>40903</v>
      </c>
    </row>
    <row r="135" spans="1:45" s="5" customFormat="1" x14ac:dyDescent="0.2">
      <c r="A135" s="23" t="s">
        <v>140</v>
      </c>
      <c r="B135" s="6">
        <v>-3721</v>
      </c>
      <c r="C135" s="6">
        <v>-68124</v>
      </c>
      <c r="D135" s="6">
        <v>-52118</v>
      </c>
      <c r="E135" s="6">
        <v>5969</v>
      </c>
      <c r="F135" s="6">
        <v>32682</v>
      </c>
      <c r="I135" s="5">
        <v>70</v>
      </c>
      <c r="K135" s="6">
        <v>-13592</v>
      </c>
      <c r="M135" s="6">
        <v>-36466</v>
      </c>
      <c r="O135" s="6">
        <v>-13216</v>
      </c>
      <c r="Q135" s="6">
        <v>-7413</v>
      </c>
      <c r="S135" s="6">
        <v>-17956</v>
      </c>
      <c r="V135" s="6">
        <v>9008</v>
      </c>
      <c r="W135" s="4">
        <f t="shared" si="72"/>
        <v>-8938</v>
      </c>
      <c r="X135" s="5">
        <v>2080</v>
      </c>
      <c r="Y135" s="4">
        <f t="shared" si="73"/>
        <v>-5871</v>
      </c>
      <c r="Z135" s="6">
        <v>-6345</v>
      </c>
      <c r="AA135" s="4">
        <f t="shared" si="74"/>
        <v>-7247</v>
      </c>
      <c r="AB135" s="6">
        <v>-34785</v>
      </c>
      <c r="AC135" s="4">
        <f t="shared" si="75"/>
        <v>-19747</v>
      </c>
      <c r="AD135" s="6">
        <v>-34791</v>
      </c>
      <c r="AE135" s="4">
        <f t="shared" si="82"/>
        <v>-1675</v>
      </c>
      <c r="AF135" s="6">
        <v>-11814</v>
      </c>
      <c r="AG135" s="4">
        <f t="shared" si="76"/>
        <v>-3838</v>
      </c>
      <c r="AH135" s="6">
        <v>-5559</v>
      </c>
      <c r="AI135" s="4">
        <f t="shared" si="77"/>
        <v>-7657</v>
      </c>
      <c r="AJ135" s="6">
        <v>18748</v>
      </c>
      <c r="AK135" s="4">
        <f t="shared" si="78"/>
        <v>437</v>
      </c>
      <c r="AL135" s="6">
        <v>-10099</v>
      </c>
      <c r="AM135" s="4">
        <f t="shared" si="79"/>
        <v>2686</v>
      </c>
      <c r="AN135" s="6">
        <v>27241</v>
      </c>
      <c r="AO135" s="4">
        <f t="shared" si="80"/>
        <v>12854</v>
      </c>
      <c r="AP135" s="6">
        <v>2364</v>
      </c>
      <c r="AQ135" s="4">
        <f t="shared" si="81"/>
        <v>-20320</v>
      </c>
    </row>
    <row r="136" spans="1:45" s="5" customFormat="1" x14ac:dyDescent="0.2">
      <c r="A136" s="23" t="s">
        <v>141</v>
      </c>
      <c r="B136" s="6">
        <v>41461</v>
      </c>
      <c r="C136" s="6">
        <v>-16695</v>
      </c>
      <c r="D136" s="6">
        <v>-42410</v>
      </c>
      <c r="E136" s="6">
        <v>15165</v>
      </c>
      <c r="F136" s="6">
        <v>-43120</v>
      </c>
      <c r="I136" s="6">
        <v>22164</v>
      </c>
      <c r="K136" s="6">
        <v>-10688</v>
      </c>
      <c r="M136" s="6">
        <v>-33554</v>
      </c>
      <c r="O136" s="5">
        <v>-510</v>
      </c>
      <c r="Q136" s="6">
        <v>6409</v>
      </c>
      <c r="S136" s="6">
        <v>-5295</v>
      </c>
      <c r="V136" s="6">
        <v>15692</v>
      </c>
      <c r="W136" s="4">
        <f t="shared" si="72"/>
        <v>6472</v>
      </c>
      <c r="X136" s="6">
        <v>3908</v>
      </c>
      <c r="Y136" s="4">
        <f t="shared" si="73"/>
        <v>15389</v>
      </c>
      <c r="Z136" s="6">
        <v>-11899</v>
      </c>
      <c r="AA136" s="4">
        <f t="shared" si="74"/>
        <v>1211</v>
      </c>
      <c r="AB136" s="6">
        <v>-5219</v>
      </c>
      <c r="AC136" s="4">
        <f t="shared" si="75"/>
        <v>-788</v>
      </c>
      <c r="AD136" s="6">
        <v>-17129</v>
      </c>
      <c r="AE136" s="4">
        <f t="shared" si="82"/>
        <v>-16425</v>
      </c>
      <c r="AF136" s="6">
        <v>-9686</v>
      </c>
      <c r="AG136" s="4">
        <f t="shared" si="76"/>
        <v>830</v>
      </c>
      <c r="AH136" s="6">
        <v>-9690</v>
      </c>
      <c r="AI136" s="4">
        <f t="shared" si="77"/>
        <v>9180</v>
      </c>
      <c r="AJ136" s="5">
        <v>4612</v>
      </c>
      <c r="AK136" s="4">
        <f t="shared" si="78"/>
        <v>11063</v>
      </c>
      <c r="AL136" s="6">
        <v>-5959</v>
      </c>
      <c r="AM136" s="4">
        <f t="shared" si="79"/>
        <v>12368</v>
      </c>
      <c r="AN136" s="6">
        <v>-46704</v>
      </c>
      <c r="AO136" s="4">
        <f t="shared" si="80"/>
        <v>-2825</v>
      </c>
      <c r="AP136" s="6">
        <v>11699</v>
      </c>
      <c r="AQ136" s="4">
        <f t="shared" si="81"/>
        <v>-16994</v>
      </c>
    </row>
    <row r="137" spans="1:45" s="5" customFormat="1" x14ac:dyDescent="0.2">
      <c r="A137" s="23" t="s">
        <v>142</v>
      </c>
      <c r="B137" s="6">
        <v>4515</v>
      </c>
      <c r="C137" s="6">
        <v>-5436</v>
      </c>
      <c r="D137" s="6">
        <v>2317</v>
      </c>
      <c r="E137" s="6">
        <v>-6789</v>
      </c>
      <c r="F137" s="6">
        <v>-13125</v>
      </c>
      <c r="I137" s="6">
        <v>6207</v>
      </c>
      <c r="K137" s="6">
        <v>-3134</v>
      </c>
      <c r="M137" s="6">
        <v>5595</v>
      </c>
      <c r="O137" s="6">
        <v>-1885</v>
      </c>
      <c r="Q137" s="6">
        <v>3479</v>
      </c>
      <c r="S137" s="6">
        <v>3117</v>
      </c>
      <c r="V137" s="6">
        <v>-7627</v>
      </c>
      <c r="W137" s="4">
        <f t="shared" si="72"/>
        <v>13834</v>
      </c>
      <c r="X137" s="6">
        <v>-1149</v>
      </c>
      <c r="Y137" s="4">
        <f t="shared" si="73"/>
        <v>-543</v>
      </c>
      <c r="Z137" s="6">
        <v>-2887</v>
      </c>
      <c r="AA137" s="4">
        <f t="shared" si="74"/>
        <v>-247</v>
      </c>
      <c r="AB137" s="6">
        <v>-4763</v>
      </c>
      <c r="AC137" s="4">
        <f t="shared" si="75"/>
        <v>2461</v>
      </c>
      <c r="AD137" s="6">
        <v>3002</v>
      </c>
      <c r="AE137" s="4">
        <f t="shared" si="82"/>
        <v>2593</v>
      </c>
      <c r="AF137" s="6">
        <v>-2203</v>
      </c>
      <c r="AG137" s="4">
        <f t="shared" si="76"/>
        <v>-1075</v>
      </c>
      <c r="AH137" s="6">
        <v>-4824</v>
      </c>
      <c r="AI137" s="4">
        <f t="shared" si="77"/>
        <v>2939</v>
      </c>
      <c r="AJ137" s="6">
        <v>494</v>
      </c>
      <c r="AK137" s="4">
        <f t="shared" si="78"/>
        <v>-5398</v>
      </c>
      <c r="AL137" s="6">
        <v>-1087</v>
      </c>
      <c r="AM137" s="4">
        <f t="shared" si="79"/>
        <v>4566</v>
      </c>
      <c r="AN137" s="6">
        <v>3439</v>
      </c>
      <c r="AO137" s="4">
        <f t="shared" si="80"/>
        <v>-20043</v>
      </c>
      <c r="AP137" s="6">
        <v>-2419</v>
      </c>
      <c r="AQ137" s="4">
        <f t="shared" si="81"/>
        <v>5536</v>
      </c>
    </row>
    <row r="138" spans="1:45" s="5" customFormat="1" ht="29" x14ac:dyDescent="0.2">
      <c r="A138" s="23" t="s">
        <v>143</v>
      </c>
      <c r="B138" s="6">
        <v>-23391</v>
      </c>
      <c r="C138" s="6">
        <v>45085</v>
      </c>
      <c r="D138" s="6">
        <v>-43657</v>
      </c>
      <c r="E138" s="6">
        <v>-35388</v>
      </c>
      <c r="F138" s="6">
        <v>6276</v>
      </c>
      <c r="I138" s="6">
        <v>-43115</v>
      </c>
      <c r="K138" s="6">
        <v>-24604</v>
      </c>
      <c r="M138" s="6">
        <v>4670</v>
      </c>
      <c r="O138" s="6">
        <v>-7128</v>
      </c>
      <c r="Q138" s="6">
        <v>-31868</v>
      </c>
      <c r="S138" s="6">
        <v>-9259</v>
      </c>
      <c r="V138" s="6">
        <v>-26978</v>
      </c>
      <c r="W138" s="4">
        <f t="shared" si="72"/>
        <v>-16137</v>
      </c>
      <c r="X138" s="6">
        <v>15991</v>
      </c>
      <c r="Y138" s="4">
        <f t="shared" si="73"/>
        <v>3733</v>
      </c>
      <c r="Z138" s="6">
        <v>14065</v>
      </c>
      <c r="AA138" s="4">
        <f t="shared" si="74"/>
        <v>-38669</v>
      </c>
      <c r="AB138" s="6">
        <v>67154</v>
      </c>
      <c r="AC138" s="4">
        <f t="shared" si="75"/>
        <v>2535</v>
      </c>
      <c r="AD138" s="6">
        <v>15113</v>
      </c>
      <c r="AE138" s="4">
        <f t="shared" si="82"/>
        <v>-10443</v>
      </c>
      <c r="AF138" s="6">
        <v>-4450</v>
      </c>
      <c r="AG138" s="4">
        <f t="shared" si="76"/>
        <v>-43877</v>
      </c>
      <c r="AH138" s="6">
        <v>48412</v>
      </c>
      <c r="AI138" s="4">
        <f t="shared" si="77"/>
        <v>-55540</v>
      </c>
      <c r="AJ138" s="6">
        <v>-31926</v>
      </c>
      <c r="AK138" s="4">
        <f t="shared" si="78"/>
        <v>3666</v>
      </c>
      <c r="AL138" s="6">
        <v>10529</v>
      </c>
      <c r="AM138" s="4">
        <f t="shared" si="79"/>
        <v>-42397</v>
      </c>
      <c r="AN138" s="6">
        <v>25909</v>
      </c>
      <c r="AO138" s="4">
        <f t="shared" si="80"/>
        <v>12235</v>
      </c>
      <c r="AP138" s="6">
        <v>8309</v>
      </c>
      <c r="AQ138" s="4">
        <f t="shared" si="81"/>
        <v>-17568</v>
      </c>
    </row>
    <row r="139" spans="1:45" s="5" customFormat="1" x14ac:dyDescent="0.2">
      <c r="A139" s="23" t="s">
        <v>144</v>
      </c>
      <c r="B139" s="6">
        <v>30915</v>
      </c>
      <c r="C139" s="6">
        <v>-21749</v>
      </c>
      <c r="D139" s="6">
        <v>44700</v>
      </c>
      <c r="E139" s="6">
        <v>3784</v>
      </c>
      <c r="F139" s="6">
        <v>-18623</v>
      </c>
      <c r="I139" s="6">
        <v>17815</v>
      </c>
      <c r="K139" s="6">
        <v>-22264</v>
      </c>
      <c r="M139" s="6">
        <v>9040</v>
      </c>
      <c r="O139" s="6">
        <v>-28700</v>
      </c>
      <c r="Q139" s="6">
        <v>-34884</v>
      </c>
      <c r="S139" s="6">
        <v>-28092</v>
      </c>
      <c r="V139" s="6">
        <v>5458</v>
      </c>
      <c r="W139" s="4">
        <f t="shared" si="72"/>
        <v>12357</v>
      </c>
      <c r="X139" s="6">
        <v>-3705</v>
      </c>
      <c r="Y139" s="4">
        <f t="shared" si="73"/>
        <v>16805</v>
      </c>
      <c r="Z139" s="6">
        <v>-26185</v>
      </c>
      <c r="AA139" s="4">
        <f t="shared" si="74"/>
        <v>3921</v>
      </c>
      <c r="AB139" s="6">
        <v>-8613</v>
      </c>
      <c r="AC139" s="4">
        <f t="shared" si="75"/>
        <v>9128</v>
      </c>
      <c r="AD139" s="6">
        <v>-12895</v>
      </c>
      <c r="AE139" s="4">
        <f t="shared" si="82"/>
        <v>21935</v>
      </c>
      <c r="AF139" s="6">
        <v>8321</v>
      </c>
      <c r="AG139" s="4">
        <f t="shared" si="76"/>
        <v>27339</v>
      </c>
      <c r="AH139" s="6">
        <v>-40561</v>
      </c>
      <c r="AI139" s="4">
        <f t="shared" si="77"/>
        <v>11861</v>
      </c>
      <c r="AJ139" s="6">
        <v>10690</v>
      </c>
      <c r="AK139" s="4">
        <f t="shared" si="78"/>
        <v>21794</v>
      </c>
      <c r="AL139" s="6">
        <v>-48692</v>
      </c>
      <c r="AM139" s="4">
        <f t="shared" si="79"/>
        <v>13808</v>
      </c>
      <c r="AN139" s="6">
        <v>4083</v>
      </c>
      <c r="AO139" s="4">
        <f t="shared" si="80"/>
        <v>12178</v>
      </c>
      <c r="AP139" s="6">
        <v>-33472</v>
      </c>
      <c r="AQ139" s="4">
        <f t="shared" si="81"/>
        <v>5380</v>
      </c>
    </row>
    <row r="140" spans="1:45" s="5" customFormat="1" x14ac:dyDescent="0.2">
      <c r="A140" s="23" t="s">
        <v>145</v>
      </c>
      <c r="B140" s="6">
        <v>-29366</v>
      </c>
      <c r="C140" s="6">
        <v>18466</v>
      </c>
      <c r="D140" s="6">
        <v>28329</v>
      </c>
      <c r="E140" s="6">
        <v>29319</v>
      </c>
      <c r="F140" s="6">
        <v>28624</v>
      </c>
      <c r="I140" s="6">
        <v>17106</v>
      </c>
      <c r="K140" s="6">
        <v>36093</v>
      </c>
      <c r="M140" s="6">
        <v>42919</v>
      </c>
      <c r="O140" s="6">
        <v>39039</v>
      </c>
      <c r="Q140" s="6">
        <v>46431</v>
      </c>
      <c r="S140" s="6">
        <v>50859</v>
      </c>
      <c r="V140" s="6">
        <v>18050</v>
      </c>
      <c r="W140" s="4">
        <f t="shared" si="72"/>
        <v>-944</v>
      </c>
      <c r="X140" s="6">
        <v>-30264</v>
      </c>
      <c r="Y140" s="4">
        <f t="shared" si="73"/>
        <v>-16208</v>
      </c>
      <c r="Z140" s="6">
        <v>35320</v>
      </c>
      <c r="AA140" s="4">
        <f t="shared" si="74"/>
        <v>773</v>
      </c>
      <c r="AB140" s="6">
        <v>-3942</v>
      </c>
      <c r="AC140" s="4">
        <f t="shared" si="75"/>
        <v>-13685</v>
      </c>
      <c r="AD140" s="6">
        <v>34471</v>
      </c>
      <c r="AE140" s="4">
        <f t="shared" si="82"/>
        <v>8448</v>
      </c>
      <c r="AF140" s="6">
        <v>-4300</v>
      </c>
      <c r="AG140" s="4">
        <f t="shared" si="76"/>
        <v>-10290</v>
      </c>
      <c r="AH140" s="6">
        <v>35738</v>
      </c>
      <c r="AI140" s="4">
        <f t="shared" si="77"/>
        <v>3301</v>
      </c>
      <c r="AJ140" s="6">
        <v>-5586</v>
      </c>
      <c r="AK140" s="4">
        <f t="shared" si="78"/>
        <v>-4134</v>
      </c>
      <c r="AL140" s="6">
        <v>39113</v>
      </c>
      <c r="AM140" s="4">
        <f t="shared" si="79"/>
        <v>7318</v>
      </c>
      <c r="AN140" s="6">
        <v>-12111</v>
      </c>
      <c r="AO140" s="4">
        <f t="shared" si="80"/>
        <v>-5696</v>
      </c>
      <c r="AP140" s="6">
        <v>18041</v>
      </c>
      <c r="AQ140" s="4">
        <f t="shared" si="81"/>
        <v>32818</v>
      </c>
    </row>
    <row r="141" spans="1:45" s="5" customFormat="1" x14ac:dyDescent="0.2">
      <c r="A141" s="23" t="s">
        <v>146</v>
      </c>
      <c r="B141" s="6">
        <v>-8169</v>
      </c>
      <c r="C141" s="6">
        <v>-5497</v>
      </c>
      <c r="D141" s="6">
        <v>-3778</v>
      </c>
      <c r="E141" s="5">
        <v>210</v>
      </c>
      <c r="F141" s="6">
        <v>-4436</v>
      </c>
      <c r="I141" s="6">
        <v>-4744</v>
      </c>
      <c r="K141" s="6">
        <v>-2501</v>
      </c>
      <c r="M141" s="5">
        <v>-440</v>
      </c>
      <c r="O141" s="5">
        <v>810</v>
      </c>
      <c r="Q141" s="6">
        <v>-1876</v>
      </c>
      <c r="S141" s="5">
        <v>-243</v>
      </c>
      <c r="V141" s="6">
        <v>-1382</v>
      </c>
      <c r="W141" s="4">
        <f t="shared" si="72"/>
        <v>-3362</v>
      </c>
      <c r="X141" s="6">
        <v>-1225</v>
      </c>
      <c r="Y141" s="4">
        <f t="shared" si="73"/>
        <v>-2200</v>
      </c>
      <c r="Z141" s="5">
        <v>-928</v>
      </c>
      <c r="AA141" s="4">
        <f t="shared" si="74"/>
        <v>-1573</v>
      </c>
      <c r="AB141" s="6">
        <v>-2530</v>
      </c>
      <c r="AC141" s="4">
        <f t="shared" si="75"/>
        <v>-466</v>
      </c>
      <c r="AD141" s="6">
        <v>-1041</v>
      </c>
      <c r="AE141" s="4">
        <f t="shared" si="82"/>
        <v>601</v>
      </c>
      <c r="AF141" s="5">
        <v>-1737</v>
      </c>
      <c r="AG141" s="4">
        <f t="shared" si="76"/>
        <v>-1601</v>
      </c>
      <c r="AH141" s="6">
        <v>1489</v>
      </c>
      <c r="AI141" s="4">
        <f t="shared" si="77"/>
        <v>-679</v>
      </c>
      <c r="AJ141" s="5">
        <v>-1286</v>
      </c>
      <c r="AK141" s="4">
        <f t="shared" si="78"/>
        <v>686</v>
      </c>
      <c r="AL141" s="5">
        <v>241</v>
      </c>
      <c r="AM141" s="4">
        <f t="shared" si="79"/>
        <v>-2117</v>
      </c>
      <c r="AN141" s="6">
        <v>-528</v>
      </c>
      <c r="AO141" s="4">
        <f t="shared" si="80"/>
        <v>-2032</v>
      </c>
      <c r="AP141" s="6">
        <v>2076</v>
      </c>
      <c r="AQ141" s="4">
        <f t="shared" si="81"/>
        <v>-2319</v>
      </c>
    </row>
    <row r="142" spans="1:45" s="5" customFormat="1" x14ac:dyDescent="0.2">
      <c r="A142" s="23" t="s">
        <v>147</v>
      </c>
      <c r="C142" s="6">
        <v>-40981</v>
      </c>
      <c r="D142" s="6">
        <v>29866</v>
      </c>
      <c r="E142" s="6">
        <v>-31011</v>
      </c>
      <c r="F142" s="6">
        <v>-22427</v>
      </c>
      <c r="M142" s="6">
        <v>31181</v>
      </c>
      <c r="O142" s="6">
        <v>-14628</v>
      </c>
      <c r="Q142" s="6">
        <v>-10252</v>
      </c>
      <c r="S142" s="6">
        <v>-6921</v>
      </c>
      <c r="W142" s="4"/>
      <c r="Y142" s="4"/>
      <c r="AA142" s="4"/>
      <c r="AC142" s="4">
        <f t="shared" si="75"/>
        <v>-40981</v>
      </c>
      <c r="AD142" s="6">
        <v>33209</v>
      </c>
      <c r="AE142" s="4">
        <f t="shared" si="82"/>
        <v>-2028</v>
      </c>
      <c r="AF142" s="6">
        <v>-7215</v>
      </c>
      <c r="AG142" s="4">
        <f t="shared" si="76"/>
        <v>5900</v>
      </c>
      <c r="AH142" s="6">
        <v>-7166</v>
      </c>
      <c r="AI142" s="4">
        <f t="shared" si="77"/>
        <v>-7462</v>
      </c>
      <c r="AJ142" s="6">
        <v>-5188</v>
      </c>
      <c r="AK142" s="4">
        <f t="shared" si="78"/>
        <v>-11195</v>
      </c>
      <c r="AL142" s="6">
        <v>-8328</v>
      </c>
      <c r="AM142" s="4">
        <f t="shared" si="79"/>
        <v>-1924</v>
      </c>
      <c r="AN142" s="6">
        <v>-6193</v>
      </c>
      <c r="AO142" s="4">
        <f t="shared" si="80"/>
        <v>-5982</v>
      </c>
      <c r="AP142" s="6">
        <v>-4190</v>
      </c>
      <c r="AQ142" s="4">
        <f t="shared" si="81"/>
        <v>-2731</v>
      </c>
    </row>
    <row r="143" spans="1:45" s="5" customFormat="1" x14ac:dyDescent="0.2">
      <c r="A143" s="23" t="s">
        <v>148</v>
      </c>
      <c r="B143" s="6">
        <v>17086</v>
      </c>
      <c r="C143" s="6">
        <v>-4890</v>
      </c>
      <c r="D143" s="6">
        <v>12423</v>
      </c>
      <c r="E143" s="6">
        <v>-22027</v>
      </c>
      <c r="F143" s="6">
        <v>-52739</v>
      </c>
      <c r="I143" s="6">
        <v>-19926</v>
      </c>
      <c r="K143" s="6">
        <v>-21557</v>
      </c>
      <c r="M143" s="6">
        <v>-9208</v>
      </c>
      <c r="O143" s="6">
        <v>-18927</v>
      </c>
      <c r="Q143" s="6">
        <v>-11153</v>
      </c>
      <c r="S143" s="6">
        <v>-1042</v>
      </c>
      <c r="V143" s="6">
        <v>-12948</v>
      </c>
      <c r="W143" s="4">
        <f t="shared" si="72"/>
        <v>-6978</v>
      </c>
      <c r="X143" s="6">
        <v>-11438</v>
      </c>
      <c r="Y143" s="4">
        <f t="shared" si="73"/>
        <v>48450</v>
      </c>
      <c r="Z143" s="6">
        <v>-11932</v>
      </c>
      <c r="AA143" s="4">
        <f t="shared" si="74"/>
        <v>-9625</v>
      </c>
      <c r="AB143" s="6">
        <v>-7689</v>
      </c>
      <c r="AC143" s="4">
        <f t="shared" si="75"/>
        <v>24356</v>
      </c>
      <c r="AD143" s="6">
        <v>-7091</v>
      </c>
      <c r="AE143" s="4">
        <f t="shared" si="82"/>
        <v>-2117</v>
      </c>
      <c r="AF143" s="6">
        <v>137</v>
      </c>
      <c r="AG143" s="4">
        <f t="shared" si="76"/>
        <v>21494</v>
      </c>
      <c r="AH143" s="6">
        <v>-18295</v>
      </c>
      <c r="AI143" s="4">
        <f t="shared" si="77"/>
        <v>-632</v>
      </c>
      <c r="AJ143" s="6">
        <v>-8809</v>
      </c>
      <c r="AK143" s="4">
        <f t="shared" si="78"/>
        <v>5709</v>
      </c>
      <c r="AL143" s="6">
        <v>-2950</v>
      </c>
      <c r="AM143" s="4">
        <f t="shared" si="79"/>
        <v>-8203</v>
      </c>
      <c r="AN143" s="6">
        <v>-2256</v>
      </c>
      <c r="AO143" s="4">
        <f t="shared" si="80"/>
        <v>-39330</v>
      </c>
      <c r="AP143" s="5">
        <v>-741</v>
      </c>
      <c r="AQ143" s="4">
        <f t="shared" si="81"/>
        <v>-301</v>
      </c>
    </row>
    <row r="144" spans="1:45" x14ac:dyDescent="0.2">
      <c r="A144" s="21" t="s">
        <v>149</v>
      </c>
      <c r="B144" s="7">
        <f>SUM(B120:B124:B126:B143)</f>
        <v>154794</v>
      </c>
      <c r="C144" s="7">
        <f>SUM(C120:C124:C126:C143)</f>
        <v>24500</v>
      </c>
      <c r="D144" s="7">
        <f>SUM(D120:D124:D126:D143)</f>
        <v>124971</v>
      </c>
      <c r="E144" s="7">
        <f>SUM(E120:E124:E126:E143)</f>
        <v>238175</v>
      </c>
      <c r="F144" s="7">
        <f>SUM(F120:F124:F126:F143)</f>
        <v>405952</v>
      </c>
      <c r="G144" s="3"/>
      <c r="H144" s="3"/>
      <c r="I144" s="7">
        <f>SUM(I120:I124:I126:I143)</f>
        <v>122680</v>
      </c>
      <c r="J144" s="3"/>
      <c r="K144" s="7">
        <f>SUM(K120:K124:K126:K143)</f>
        <v>22656</v>
      </c>
      <c r="L144" s="3"/>
      <c r="M144" s="7">
        <f>SUM(M120:M124:M126:M143)</f>
        <v>42989</v>
      </c>
      <c r="N144" s="3"/>
      <c r="O144" s="7">
        <f>SUM(O120:O124:O126:O143)</f>
        <v>93025</v>
      </c>
      <c r="P144" s="3"/>
      <c r="Q144" s="7">
        <f>SUM(Q120:Q124:Q126:Q143)</f>
        <v>168802</v>
      </c>
      <c r="R144" s="3"/>
      <c r="S144" s="7">
        <f>SUM(S120:S124:S126:S143)</f>
        <v>173592</v>
      </c>
      <c r="T144" s="3"/>
      <c r="U144" s="3"/>
      <c r="V144" s="7">
        <f>SUM(V120:V124:V126:V143)</f>
        <v>49955.012506399478</v>
      </c>
      <c r="W144" s="7">
        <f>SUM(W120:W124:W126:W143)</f>
        <v>72725.0124394171</v>
      </c>
      <c r="X144" s="7">
        <f>SUM(X120:X124:X126:X143)</f>
        <v>18467.011633661838</v>
      </c>
      <c r="Y144" s="7">
        <f>SUM(Y120:Y124:Y126:Y143)</f>
        <v>13647.01105146436</v>
      </c>
      <c r="Z144" s="7">
        <f>SUM(Z120:Z124:Z126:Z143)</f>
        <v>7591.012889965099</v>
      </c>
      <c r="AA144" s="7">
        <f>SUM(AA120:AA124:AA126:AA143)</f>
        <v>15065.014830439788</v>
      </c>
      <c r="AB144" s="7">
        <f>SUM(AB120:AB124:AB126:AB143)</f>
        <v>14874.011604809202</v>
      </c>
      <c r="AC144" s="7">
        <f>SUM(AC120:AC124:AC126:AC143)</f>
        <v>-13029.990449013989</v>
      </c>
      <c r="AD144" s="7">
        <f>SUM(AD120:AD124:AD126:AD143)</f>
        <v>1429.0139885730023</v>
      </c>
      <c r="AE144" s="7">
        <f>SUM(AE120:AE124:AE126:AE143)</f>
        <v>41560.012521485209</v>
      </c>
      <c r="AF144" s="7">
        <f>SUM(AF120:AF124:AF126:AF143)</f>
        <v>34087.012192120863</v>
      </c>
      <c r="AG144" s="7">
        <f>SUM(AG120:AG124:AG126:AG143)</f>
        <v>47895.013559192827</v>
      </c>
      <c r="AH144" s="7">
        <f>SUM(AH120:AH124:AH126:AH143)</f>
        <v>41308.01893968269</v>
      </c>
      <c r="AI144" s="7">
        <f>SUM(AI120:AI124:AI126:AI143)</f>
        <v>51717.017101510661</v>
      </c>
      <c r="AJ144" s="7">
        <f>SUM(AJ120:AJ124:AJ126:AJ143)</f>
        <v>65301.016608661463</v>
      </c>
      <c r="AK144" s="7">
        <f>SUM(AK120:AK124:AK126:AK143)</f>
        <v>79849.019265285606</v>
      </c>
      <c r="AL144" s="7">
        <f>SUM(AL120:AL124:AL126:AL143)</f>
        <v>72117.027271634244</v>
      </c>
      <c r="AM144" s="7">
        <f>SUM(AM120:AM124:AM126:AM143)</f>
        <v>96685.02775062999</v>
      </c>
      <c r="AN144" s="7">
        <f>SUM(AN120:AN124:AN126:AN143)</f>
        <v>117829.0247977649</v>
      </c>
      <c r="AO144" s="7">
        <f>SUM(AO120:AO124:AO126:AO143)</f>
        <v>119321.02559226949</v>
      </c>
      <c r="AP144" s="7">
        <f>SUM(AP120:AP124:AP126:AP143)</f>
        <v>85501.034191849147</v>
      </c>
      <c r="AQ144" s="7">
        <f>SUM(AQ120:AQ124:AQ126:AQ143)</f>
        <v>88091.021755119014</v>
      </c>
      <c r="AR144" s="7">
        <f>SUM(AR120:AR124:AR126:AR143)</f>
        <v>0</v>
      </c>
      <c r="AS144" s="7">
        <f>SUM(AS120:AS124:AS126:AS143)</f>
        <v>0</v>
      </c>
    </row>
    <row r="146" spans="1:45" x14ac:dyDescent="0.2">
      <c r="A146" s="19" t="s">
        <v>150</v>
      </c>
    </row>
    <row r="147" spans="1:45" s="5" customFormat="1" x14ac:dyDescent="0.2">
      <c r="A147" s="23" t="s">
        <v>151</v>
      </c>
      <c r="B147" s="6">
        <v>3142</v>
      </c>
      <c r="C147" s="6">
        <v>55933</v>
      </c>
      <c r="D147" s="6">
        <v>-772</v>
      </c>
      <c r="E147" s="5">
        <v>405</v>
      </c>
      <c r="F147" s="5">
        <v>278</v>
      </c>
      <c r="I147" s="6">
        <v>3142</v>
      </c>
      <c r="K147" s="6">
        <v>55933</v>
      </c>
      <c r="M147" s="5">
        <v>-772</v>
      </c>
      <c r="O147" s="5">
        <v>405</v>
      </c>
      <c r="V147" s="6">
        <v>2842</v>
      </c>
      <c r="W147" s="4">
        <f t="shared" ref="W147:W150" si="84">I147-V147</f>
        <v>300</v>
      </c>
      <c r="X147" s="6">
        <v>0</v>
      </c>
      <c r="Y147" s="4">
        <f t="shared" ref="Y147:Y149" si="85">B147-SUM(V147:X147)</f>
        <v>0</v>
      </c>
      <c r="Z147" s="6">
        <v>55933</v>
      </c>
      <c r="AA147" s="4">
        <f t="shared" ref="AA147:AA150" si="86">K147-Z147</f>
        <v>0</v>
      </c>
      <c r="AB147" s="6">
        <v>0</v>
      </c>
      <c r="AC147" s="4">
        <f t="shared" ref="AC147:AC150" si="87">C147-SUM(Z147:AB147)</f>
        <v>0</v>
      </c>
      <c r="AD147" s="5">
        <v>-772</v>
      </c>
      <c r="AE147" s="4">
        <f t="shared" ref="AE147:AE150" si="88">M147-AD147</f>
        <v>0</v>
      </c>
      <c r="AF147" s="5">
        <v>0</v>
      </c>
      <c r="AG147" s="4">
        <f t="shared" ref="AG147:AG150" si="89">D147-SUM(AD147,AE147,AF147)</f>
        <v>0</v>
      </c>
      <c r="AI147" s="4">
        <f t="shared" ref="AI147:AI150" si="90">O147-AH147</f>
        <v>405</v>
      </c>
      <c r="AJ147" s="5">
        <v>0</v>
      </c>
      <c r="AK147" s="4">
        <f t="shared" ref="AK147:AK150" si="91">E147-SUM(AH147,AI147,AJ147)</f>
        <v>0</v>
      </c>
      <c r="AM147" s="4"/>
      <c r="AN147" s="5">
        <v>278</v>
      </c>
      <c r="AO147" s="4">
        <f t="shared" ref="AO147:AO150" si="92">F147-SUM(AL147,AM147,AN147)</f>
        <v>0</v>
      </c>
      <c r="AQ147" s="4"/>
    </row>
    <row r="148" spans="1:45" s="5" customFormat="1" x14ac:dyDescent="0.2">
      <c r="A148" s="23" t="s">
        <v>152</v>
      </c>
      <c r="B148" s="6">
        <v>-34682</v>
      </c>
      <c r="C148" s="6">
        <v>-19747</v>
      </c>
      <c r="D148" s="6">
        <v>-26884</v>
      </c>
      <c r="E148" s="6">
        <v>-30562</v>
      </c>
      <c r="F148" s="6">
        <v>-22891</v>
      </c>
      <c r="I148" s="6">
        <v>-20476</v>
      </c>
      <c r="K148" s="6">
        <v>-10663</v>
      </c>
      <c r="M148" s="6">
        <v>-12498</v>
      </c>
      <c r="O148" s="6">
        <v>-14255</v>
      </c>
      <c r="Q148" s="6">
        <v>-10656</v>
      </c>
      <c r="S148" s="6">
        <v>-13132</v>
      </c>
      <c r="V148" s="6">
        <v>-11412</v>
      </c>
      <c r="W148" s="4">
        <f t="shared" si="84"/>
        <v>-9064</v>
      </c>
      <c r="X148" s="6">
        <v>-7305</v>
      </c>
      <c r="Y148" s="4">
        <f t="shared" si="85"/>
        <v>-6901</v>
      </c>
      <c r="Z148" s="6">
        <v>-5369</v>
      </c>
      <c r="AA148" s="4">
        <f t="shared" si="86"/>
        <v>-5294</v>
      </c>
      <c r="AB148" s="6">
        <v>-4223</v>
      </c>
      <c r="AC148" s="4">
        <f t="shared" si="87"/>
        <v>-4861</v>
      </c>
      <c r="AD148" s="6">
        <v>-6902</v>
      </c>
      <c r="AE148" s="4">
        <f t="shared" si="88"/>
        <v>-5596</v>
      </c>
      <c r="AF148" s="6">
        <v>-5806</v>
      </c>
      <c r="AG148" s="4">
        <f t="shared" si="89"/>
        <v>-8580</v>
      </c>
      <c r="AH148" s="6">
        <v>-7145</v>
      </c>
      <c r="AI148" s="4">
        <f t="shared" si="90"/>
        <v>-7110</v>
      </c>
      <c r="AJ148" s="6">
        <v>-6623</v>
      </c>
      <c r="AK148" s="4">
        <f t="shared" si="91"/>
        <v>-9684</v>
      </c>
      <c r="AL148" s="6">
        <v>-4639</v>
      </c>
      <c r="AM148" s="4">
        <f t="shared" ref="AM148:AM150" si="93">Q148-AL148</f>
        <v>-6017</v>
      </c>
      <c r="AN148" s="6">
        <v>-4421</v>
      </c>
      <c r="AO148" s="4">
        <f t="shared" si="92"/>
        <v>-7814</v>
      </c>
      <c r="AP148" s="6">
        <v>-6527</v>
      </c>
      <c r="AQ148" s="4">
        <f t="shared" ref="AQ148:AQ150" si="94">S148-AP148</f>
        <v>-6605</v>
      </c>
    </row>
    <row r="149" spans="1:45" s="5" customFormat="1" ht="29" x14ac:dyDescent="0.2">
      <c r="A149" s="23" t="s">
        <v>153</v>
      </c>
      <c r="B149" s="6">
        <v>-8670</v>
      </c>
      <c r="C149" s="5">
        <v>23</v>
      </c>
      <c r="D149" s="6"/>
      <c r="E149" s="6">
        <v>-34105</v>
      </c>
      <c r="F149" s="6">
        <v>-325044</v>
      </c>
      <c r="K149" s="5">
        <v>23</v>
      </c>
      <c r="O149" s="6">
        <v>-34126</v>
      </c>
      <c r="S149" s="6">
        <v>-515055</v>
      </c>
      <c r="W149" s="4"/>
      <c r="Y149" s="4">
        <f t="shared" si="85"/>
        <v>-8670</v>
      </c>
      <c r="Z149" s="5">
        <v>23</v>
      </c>
      <c r="AA149" s="4">
        <f t="shared" si="86"/>
        <v>0</v>
      </c>
      <c r="AB149" s="5">
        <v>0</v>
      </c>
      <c r="AC149" s="4">
        <f t="shared" si="87"/>
        <v>0</v>
      </c>
      <c r="AE149" s="4"/>
      <c r="AG149" s="4"/>
      <c r="AH149" s="6">
        <v>-34126</v>
      </c>
      <c r="AI149" s="4"/>
      <c r="AJ149" s="6">
        <v>0</v>
      </c>
      <c r="AK149" s="4">
        <f t="shared" si="91"/>
        <v>21</v>
      </c>
      <c r="AM149" s="4"/>
      <c r="AO149" s="4">
        <f t="shared" si="92"/>
        <v>-325044</v>
      </c>
      <c r="AP149" s="6">
        <v>-515055</v>
      </c>
      <c r="AQ149" s="4">
        <f t="shared" si="94"/>
        <v>0</v>
      </c>
    </row>
    <row r="150" spans="1:45" s="5" customFormat="1" x14ac:dyDescent="0.2">
      <c r="A150" s="23" t="s">
        <v>154</v>
      </c>
      <c r="B150" s="6">
        <v>5326</v>
      </c>
      <c r="C150" s="6">
        <v>4307</v>
      </c>
      <c r="D150" s="6">
        <v>4348</v>
      </c>
      <c r="E150" s="5">
        <v>850</v>
      </c>
      <c r="F150" s="6">
        <v>-1995</v>
      </c>
      <c r="I150" s="6">
        <v>2819</v>
      </c>
      <c r="K150" s="6">
        <v>1722</v>
      </c>
      <c r="M150" s="5">
        <v>50</v>
      </c>
      <c r="O150" s="5">
        <v>156</v>
      </c>
      <c r="Q150" s="5">
        <v>5</v>
      </c>
      <c r="S150" s="6">
        <v>3088</v>
      </c>
      <c r="V150" s="6">
        <v>2764</v>
      </c>
      <c r="W150" s="4">
        <f t="shared" si="84"/>
        <v>55</v>
      </c>
      <c r="X150" s="6">
        <v>1</v>
      </c>
      <c r="Y150" s="4">
        <f t="shared" ref="Y150" si="95">B150-SUM(V150:X150)</f>
        <v>2506</v>
      </c>
      <c r="Z150" s="5">
        <v>362</v>
      </c>
      <c r="AA150" s="4">
        <f t="shared" si="86"/>
        <v>1360</v>
      </c>
      <c r="AB150" s="6">
        <v>702</v>
      </c>
      <c r="AC150" s="4">
        <f t="shared" si="87"/>
        <v>1883</v>
      </c>
      <c r="AD150" s="5">
        <v>16</v>
      </c>
      <c r="AE150" s="4">
        <f t="shared" si="88"/>
        <v>34</v>
      </c>
      <c r="AF150" s="5">
        <v>23</v>
      </c>
      <c r="AG150" s="4">
        <f t="shared" si="89"/>
        <v>4275</v>
      </c>
      <c r="AH150" s="5">
        <v>125</v>
      </c>
      <c r="AI150" s="4">
        <f t="shared" si="90"/>
        <v>31</v>
      </c>
      <c r="AJ150" s="5">
        <v>56</v>
      </c>
      <c r="AK150" s="4">
        <f t="shared" si="91"/>
        <v>638</v>
      </c>
      <c r="AL150" s="5">
        <v>5</v>
      </c>
      <c r="AM150" s="4">
        <f t="shared" si="93"/>
        <v>0</v>
      </c>
      <c r="AN150" s="6">
        <v>-2000</v>
      </c>
      <c r="AO150" s="4">
        <f t="shared" si="92"/>
        <v>0</v>
      </c>
      <c r="AP150" s="5">
        <v>10</v>
      </c>
      <c r="AQ150" s="4">
        <f t="shared" si="94"/>
        <v>3078</v>
      </c>
    </row>
    <row r="151" spans="1:45" x14ac:dyDescent="0.2">
      <c r="A151" s="21" t="s">
        <v>155</v>
      </c>
      <c r="B151" s="7">
        <f>SUM(B147:B150)</f>
        <v>-34884</v>
      </c>
      <c r="C151" s="7">
        <f>SUM(C147:C150)</f>
        <v>40516</v>
      </c>
      <c r="D151" s="7">
        <f>SUM(D147:D150)</f>
        <v>-23308</v>
      </c>
      <c r="E151" s="7">
        <f>SUM(E147:E150)</f>
        <v>-63412</v>
      </c>
      <c r="F151" s="7">
        <f>SUM(F147:F150)</f>
        <v>-349652</v>
      </c>
      <c r="G151" s="3"/>
      <c r="H151" s="3"/>
      <c r="I151" s="7">
        <f>SUM(I147:I150)</f>
        <v>-14515</v>
      </c>
      <c r="J151" s="3"/>
      <c r="K151" s="7">
        <f>SUM(K147:K150)</f>
        <v>47015</v>
      </c>
      <c r="L151" s="3"/>
      <c r="M151" s="7">
        <f>SUM(M147:M150)</f>
        <v>-13220</v>
      </c>
      <c r="N151" s="3"/>
      <c r="O151" s="7">
        <f>SUM(O147:O150)</f>
        <v>-47820</v>
      </c>
      <c r="P151" s="3"/>
      <c r="Q151" s="7">
        <f>SUM(Q147:Q150)</f>
        <v>-10651</v>
      </c>
      <c r="R151" s="3"/>
      <c r="S151" s="7">
        <f>SUM(S147:S150)</f>
        <v>-525099</v>
      </c>
      <c r="T151" s="3"/>
      <c r="U151" s="3"/>
      <c r="V151" s="7">
        <f>SUM(V147:V150)</f>
        <v>-5806</v>
      </c>
      <c r="W151" s="7">
        <f>SUM(W147:W150)</f>
        <v>-8709</v>
      </c>
      <c r="X151" s="7">
        <f t="shared" ref="X151:AS151" si="96">SUM(X147:X150)</f>
        <v>-7304</v>
      </c>
      <c r="Y151" s="7">
        <f t="shared" si="96"/>
        <v>-13065</v>
      </c>
      <c r="Z151" s="7">
        <f t="shared" si="96"/>
        <v>50949</v>
      </c>
      <c r="AA151" s="7">
        <f t="shared" si="96"/>
        <v>-3934</v>
      </c>
      <c r="AB151" s="7">
        <f t="shared" si="96"/>
        <v>-3521</v>
      </c>
      <c r="AC151" s="7">
        <f t="shared" si="96"/>
        <v>-2978</v>
      </c>
      <c r="AD151" s="7">
        <f t="shared" si="96"/>
        <v>-7658</v>
      </c>
      <c r="AE151" s="7">
        <f t="shared" si="96"/>
        <v>-5562</v>
      </c>
      <c r="AF151" s="7">
        <f t="shared" si="96"/>
        <v>-5783</v>
      </c>
      <c r="AG151" s="7">
        <f t="shared" si="96"/>
        <v>-4305</v>
      </c>
      <c r="AH151" s="7">
        <f t="shared" si="96"/>
        <v>-41146</v>
      </c>
      <c r="AI151" s="7">
        <f t="shared" si="96"/>
        <v>-6674</v>
      </c>
      <c r="AJ151" s="7">
        <f t="shared" si="96"/>
        <v>-6567</v>
      </c>
      <c r="AK151" s="7">
        <f t="shared" si="96"/>
        <v>-9025</v>
      </c>
      <c r="AL151" s="7">
        <f t="shared" si="96"/>
        <v>-4634</v>
      </c>
      <c r="AM151" s="7">
        <f t="shared" si="96"/>
        <v>-6017</v>
      </c>
      <c r="AN151" s="7">
        <f t="shared" si="96"/>
        <v>-6143</v>
      </c>
      <c r="AO151" s="7">
        <f t="shared" si="96"/>
        <v>-332858</v>
      </c>
      <c r="AP151" s="7">
        <f t="shared" si="96"/>
        <v>-521572</v>
      </c>
      <c r="AQ151" s="7">
        <f t="shared" si="96"/>
        <v>-3527</v>
      </c>
      <c r="AR151" s="7">
        <f t="shared" si="96"/>
        <v>0</v>
      </c>
      <c r="AS151" s="7">
        <f t="shared" si="96"/>
        <v>0</v>
      </c>
    </row>
    <row r="153" spans="1:45" x14ac:dyDescent="0.2">
      <c r="A153" s="19" t="s">
        <v>156</v>
      </c>
    </row>
    <row r="154" spans="1:45" s="5" customFormat="1" x14ac:dyDescent="0.2">
      <c r="A154" s="23" t="s">
        <v>157</v>
      </c>
      <c r="B154" s="6">
        <v>460000</v>
      </c>
      <c r="D154" s="6"/>
      <c r="E154" s="6">
        <v>805000</v>
      </c>
      <c r="I154" s="6">
        <v>460000</v>
      </c>
      <c r="O154" s="6">
        <v>805000</v>
      </c>
      <c r="S154" s="6">
        <v>805000</v>
      </c>
      <c r="V154" s="6">
        <v>460000</v>
      </c>
      <c r="W154" s="4">
        <f t="shared" ref="W154:W163" si="97">I154-V154</f>
        <v>0</v>
      </c>
      <c r="X154" s="6">
        <v>0</v>
      </c>
      <c r="Y154" s="4">
        <f t="shared" ref="Y154:Y161" si="98">B154-SUM(V154:X154)</f>
        <v>0</v>
      </c>
      <c r="AA154" s="4"/>
      <c r="AC154" s="6"/>
      <c r="AE154" s="4"/>
      <c r="AG154" s="4"/>
      <c r="AI154" s="4">
        <f t="shared" ref="AI154:AI163" si="99">O154-AH154</f>
        <v>805000</v>
      </c>
      <c r="AJ154" s="6">
        <v>0</v>
      </c>
      <c r="AK154" s="4">
        <f t="shared" ref="AK154:AK163" si="100">E154-SUM(AH154,AI154,AJ154)</f>
        <v>0</v>
      </c>
      <c r="AM154" s="4"/>
      <c r="AO154" s="4"/>
      <c r="AP154" s="6">
        <v>805000</v>
      </c>
      <c r="AQ154" s="4">
        <f t="shared" ref="AQ154:AQ163" si="101">S154-AP154</f>
        <v>0</v>
      </c>
    </row>
    <row r="155" spans="1:45" s="5" customFormat="1" x14ac:dyDescent="0.2">
      <c r="A155" s="23" t="s">
        <v>158</v>
      </c>
      <c r="B155" s="6">
        <v>-946094</v>
      </c>
      <c r="D155" s="6"/>
      <c r="I155" s="6">
        <v>-915000</v>
      </c>
      <c r="S155" s="6">
        <v>-460000</v>
      </c>
      <c r="V155" s="6">
        <v>-475000</v>
      </c>
      <c r="W155" s="4">
        <f t="shared" si="97"/>
        <v>-440000</v>
      </c>
      <c r="X155" s="6">
        <v>-31094</v>
      </c>
      <c r="Y155" s="4">
        <f t="shared" si="98"/>
        <v>0</v>
      </c>
      <c r="AA155" s="4"/>
      <c r="AC155" s="6"/>
      <c r="AE155" s="4"/>
      <c r="AG155" s="4"/>
      <c r="AI155" s="4"/>
      <c r="AK155" s="4"/>
      <c r="AM155" s="4"/>
      <c r="AO155" s="4"/>
      <c r="AP155" s="6">
        <v>-460000</v>
      </c>
      <c r="AQ155" s="4">
        <f t="shared" si="101"/>
        <v>0</v>
      </c>
    </row>
    <row r="156" spans="1:45" s="5" customFormat="1" x14ac:dyDescent="0.2">
      <c r="A156" s="23" t="s">
        <v>159</v>
      </c>
      <c r="B156" s="6">
        <v>5080</v>
      </c>
      <c r="C156" s="6">
        <v>3452</v>
      </c>
      <c r="D156" s="6">
        <v>3674</v>
      </c>
      <c r="E156" s="6">
        <v>8321</v>
      </c>
      <c r="F156" s="6">
        <v>7320</v>
      </c>
      <c r="I156" s="6">
        <v>3255</v>
      </c>
      <c r="K156" s="6">
        <v>1797</v>
      </c>
      <c r="M156" s="6">
        <v>1641</v>
      </c>
      <c r="O156" s="6">
        <v>2972</v>
      </c>
      <c r="Q156" s="6">
        <v>5436</v>
      </c>
      <c r="S156" s="6">
        <v>1969</v>
      </c>
      <c r="V156" s="6">
        <v>2238</v>
      </c>
      <c r="W156" s="4">
        <f t="shared" si="97"/>
        <v>1017</v>
      </c>
      <c r="X156" s="6">
        <v>1096</v>
      </c>
      <c r="Y156" s="4">
        <f t="shared" si="98"/>
        <v>729</v>
      </c>
      <c r="Z156" s="5">
        <v>784</v>
      </c>
      <c r="AA156" s="4">
        <f t="shared" ref="AA156:AA163" si="102">K156-Z156</f>
        <v>1013</v>
      </c>
      <c r="AB156" s="6">
        <v>834</v>
      </c>
      <c r="AC156" s="4">
        <f t="shared" ref="AC156:AC163" si="103">C156-SUM(Z156:AB156)</f>
        <v>821</v>
      </c>
      <c r="AD156" s="5">
        <v>607</v>
      </c>
      <c r="AE156" s="4">
        <f t="shared" ref="AE156:AE163" si="104">M156-AD156</f>
        <v>1034</v>
      </c>
      <c r="AF156" s="6">
        <v>725</v>
      </c>
      <c r="AG156" s="4">
        <f t="shared" ref="AG156:AG163" si="105">D156-SUM(AD156,AE156,AF156)</f>
        <v>1308</v>
      </c>
      <c r="AH156" s="6">
        <v>1564</v>
      </c>
      <c r="AI156" s="4">
        <f t="shared" si="99"/>
        <v>1408</v>
      </c>
      <c r="AJ156" s="6">
        <v>1345</v>
      </c>
      <c r="AK156" s="4">
        <f t="shared" si="100"/>
        <v>4004</v>
      </c>
      <c r="AL156" s="6">
        <v>2195</v>
      </c>
      <c r="AM156" s="4">
        <f t="shared" ref="AM156:AM163" si="106">Q156-AL156</f>
        <v>3241</v>
      </c>
      <c r="AN156" s="6">
        <v>896</v>
      </c>
      <c r="AO156" s="4">
        <f t="shared" ref="AO156:AO163" si="107">F156-SUM(AL156,AM156,AN156)</f>
        <v>988</v>
      </c>
      <c r="AP156" s="5">
        <v>677</v>
      </c>
      <c r="AQ156" s="4">
        <f t="shared" si="101"/>
        <v>1292</v>
      </c>
    </row>
    <row r="157" spans="1:45" s="5" customFormat="1" x14ac:dyDescent="0.2">
      <c r="A157" s="23" t="s">
        <v>160</v>
      </c>
      <c r="B157" s="6">
        <v>389419</v>
      </c>
      <c r="D157" s="6"/>
      <c r="I157" s="6">
        <v>389419</v>
      </c>
      <c r="V157" s="6">
        <v>389419</v>
      </c>
      <c r="W157" s="4">
        <f t="shared" si="97"/>
        <v>0</v>
      </c>
      <c r="X157" s="6">
        <v>0</v>
      </c>
      <c r="Y157" s="4">
        <f t="shared" si="98"/>
        <v>0</v>
      </c>
      <c r="AA157" s="4"/>
      <c r="AC157" s="4"/>
      <c r="AE157" s="4"/>
      <c r="AG157" s="4"/>
      <c r="AI157" s="4"/>
      <c r="AK157" s="4"/>
      <c r="AM157" s="4"/>
      <c r="AO157" s="4"/>
      <c r="AQ157" s="4"/>
    </row>
    <row r="158" spans="1:45" s="5" customFormat="1" x14ac:dyDescent="0.2">
      <c r="A158" s="23" t="s">
        <v>161</v>
      </c>
      <c r="B158" s="6">
        <v>45349</v>
      </c>
      <c r="D158" s="6"/>
      <c r="I158" s="6">
        <v>45349</v>
      </c>
      <c r="V158" s="6">
        <v>45349</v>
      </c>
      <c r="W158" s="4">
        <f t="shared" si="97"/>
        <v>0</v>
      </c>
      <c r="X158" s="6">
        <v>0</v>
      </c>
      <c r="Y158" s="4">
        <f t="shared" si="98"/>
        <v>0</v>
      </c>
      <c r="AA158" s="4"/>
      <c r="AC158" s="4"/>
      <c r="AE158" s="4"/>
      <c r="AG158" s="4"/>
      <c r="AI158" s="4"/>
      <c r="AK158" s="4"/>
      <c r="AM158" s="4"/>
      <c r="AO158" s="4"/>
      <c r="AQ158" s="4"/>
    </row>
    <row r="159" spans="1:45" s="5" customFormat="1" x14ac:dyDescent="0.2">
      <c r="A159" s="23" t="s">
        <v>162</v>
      </c>
      <c r="B159" s="6">
        <v>-84139</v>
      </c>
      <c r="D159" s="6"/>
      <c r="I159" s="6">
        <v>-84139</v>
      </c>
      <c r="V159" s="6">
        <v>-84139</v>
      </c>
      <c r="W159" s="4">
        <f t="shared" si="97"/>
        <v>0</v>
      </c>
      <c r="X159" s="6">
        <v>0</v>
      </c>
      <c r="Y159" s="4">
        <f t="shared" si="98"/>
        <v>0</v>
      </c>
      <c r="AA159" s="4"/>
      <c r="AC159" s="4"/>
      <c r="AE159" s="4"/>
      <c r="AG159" s="4"/>
      <c r="AI159" s="4"/>
      <c r="AK159" s="4"/>
      <c r="AM159" s="4"/>
      <c r="AO159" s="4"/>
      <c r="AQ159" s="4"/>
    </row>
    <row r="160" spans="1:45" s="5" customFormat="1" x14ac:dyDescent="0.2">
      <c r="A160" s="23" t="s">
        <v>163</v>
      </c>
      <c r="D160" s="6"/>
      <c r="E160" s="6">
        <v>-108997</v>
      </c>
      <c r="O160" s="6">
        <v>-108997</v>
      </c>
      <c r="S160" s="6">
        <v>-92817</v>
      </c>
      <c r="W160" s="4"/>
      <c r="Y160"/>
      <c r="AA160" s="4"/>
      <c r="AC160" s="4"/>
      <c r="AE160" s="4"/>
      <c r="AG160" s="4"/>
      <c r="AI160" s="4">
        <f t="shared" si="99"/>
        <v>-108997</v>
      </c>
      <c r="AJ160" s="6">
        <v>0</v>
      </c>
      <c r="AK160" s="4">
        <f t="shared" si="100"/>
        <v>0</v>
      </c>
      <c r="AM160" s="4"/>
      <c r="AO160" s="4"/>
      <c r="AP160" s="6">
        <v>-92817</v>
      </c>
      <c r="AQ160" s="4">
        <f t="shared" si="101"/>
        <v>0</v>
      </c>
    </row>
    <row r="161" spans="1:45" s="5" customFormat="1" x14ac:dyDescent="0.2">
      <c r="A161" s="23" t="s">
        <v>164</v>
      </c>
      <c r="B161" s="6">
        <v>-8028</v>
      </c>
      <c r="C161" s="6">
        <v>-16972</v>
      </c>
      <c r="D161" s="6"/>
      <c r="E161" s="6">
        <v>-100000</v>
      </c>
      <c r="F161" s="6">
        <v>-100000</v>
      </c>
      <c r="K161" s="6">
        <v>-16972</v>
      </c>
      <c r="O161" s="6">
        <v>-100000</v>
      </c>
      <c r="S161" s="6">
        <v>-152234</v>
      </c>
      <c r="W161" s="4"/>
      <c r="Y161" s="4">
        <f t="shared" si="98"/>
        <v>-8028</v>
      </c>
      <c r="Z161" s="6">
        <v>-16972</v>
      </c>
      <c r="AA161" s="4">
        <f t="shared" si="102"/>
        <v>0</v>
      </c>
      <c r="AB161" s="6">
        <v>0</v>
      </c>
      <c r="AC161" s="4">
        <f t="shared" si="103"/>
        <v>0</v>
      </c>
      <c r="AE161" s="4"/>
      <c r="AG161" s="4"/>
      <c r="AI161" s="4">
        <f t="shared" si="99"/>
        <v>-100000</v>
      </c>
      <c r="AJ161" s="6">
        <v>0</v>
      </c>
      <c r="AK161" s="4">
        <f t="shared" si="100"/>
        <v>0</v>
      </c>
      <c r="AM161" s="4"/>
      <c r="AO161" s="4">
        <f t="shared" si="107"/>
        <v>-100000</v>
      </c>
      <c r="AP161" s="6">
        <v>-100000</v>
      </c>
      <c r="AQ161" s="4">
        <f t="shared" si="101"/>
        <v>-52234</v>
      </c>
    </row>
    <row r="162" spans="1:45" s="5" customFormat="1" x14ac:dyDescent="0.2">
      <c r="A162" s="23" t="s">
        <v>165</v>
      </c>
      <c r="B162" s="6">
        <v>-12031</v>
      </c>
      <c r="C162" s="5">
        <v>-697</v>
      </c>
      <c r="D162" s="6">
        <v>-2471</v>
      </c>
      <c r="E162" s="6">
        <v>-21872</v>
      </c>
      <c r="F162" s="6">
        <v>-2213</v>
      </c>
      <c r="I162" s="6">
        <v>-12021</v>
      </c>
      <c r="K162" s="5">
        <v>-695</v>
      </c>
      <c r="M162" s="5">
        <v>-517</v>
      </c>
      <c r="O162" s="6">
        <v>-21495</v>
      </c>
      <c r="Q162" s="5">
        <v>-178</v>
      </c>
      <c r="S162" s="6">
        <v>-21525</v>
      </c>
      <c r="V162" s="6">
        <v>-11722</v>
      </c>
      <c r="W162" s="4">
        <f t="shared" si="97"/>
        <v>-299</v>
      </c>
      <c r="X162" s="6">
        <v>0</v>
      </c>
      <c r="Y162" s="4">
        <f t="shared" ref="Y162:Y163" si="108">B162-SUM(V162:X162)</f>
        <v>-10</v>
      </c>
      <c r="Z162" s="5">
        <v>-695</v>
      </c>
      <c r="AA162" s="4">
        <f t="shared" si="102"/>
        <v>0</v>
      </c>
      <c r="AB162" s="5">
        <v>-2</v>
      </c>
      <c r="AC162" s="4">
        <f t="shared" si="103"/>
        <v>0</v>
      </c>
      <c r="AD162" s="5">
        <v>-517</v>
      </c>
      <c r="AE162" s="4">
        <f t="shared" si="104"/>
        <v>0</v>
      </c>
      <c r="AF162" s="5">
        <v>0</v>
      </c>
      <c r="AG162" s="4">
        <f t="shared" si="105"/>
        <v>-1954</v>
      </c>
      <c r="AH162" s="5">
        <v>-206</v>
      </c>
      <c r="AI162" s="4">
        <f t="shared" si="99"/>
        <v>-21289</v>
      </c>
      <c r="AJ162" s="6">
        <v>-122</v>
      </c>
      <c r="AK162" s="4">
        <f t="shared" si="100"/>
        <v>-255</v>
      </c>
      <c r="AL162" s="5">
        <v>-175</v>
      </c>
      <c r="AM162" s="4">
        <f t="shared" si="106"/>
        <v>-3</v>
      </c>
      <c r="AN162" s="5">
        <v>-2029</v>
      </c>
      <c r="AO162" s="4">
        <f t="shared" si="107"/>
        <v>-6</v>
      </c>
      <c r="AP162" s="6">
        <v>-21166</v>
      </c>
      <c r="AQ162" s="4">
        <f t="shared" si="101"/>
        <v>-359</v>
      </c>
    </row>
    <row r="163" spans="1:45" s="5" customFormat="1" x14ac:dyDescent="0.2">
      <c r="A163" s="23" t="s">
        <v>166</v>
      </c>
      <c r="B163" s="6">
        <v>-2443</v>
      </c>
      <c r="C163" s="6">
        <v>-4520</v>
      </c>
      <c r="D163" s="6">
        <v>-4711</v>
      </c>
      <c r="E163" s="6">
        <v>-2879</v>
      </c>
      <c r="F163" s="6">
        <v>-2569</v>
      </c>
      <c r="I163" s="6">
        <v>4993</v>
      </c>
      <c r="K163" s="6">
        <v>-4206</v>
      </c>
      <c r="M163" s="5">
        <v>-354</v>
      </c>
      <c r="O163" s="5">
        <v>-641</v>
      </c>
      <c r="Q163" s="5">
        <v>-507</v>
      </c>
      <c r="S163" s="5">
        <v>-514</v>
      </c>
      <c r="V163" s="6">
        <v>-1564</v>
      </c>
      <c r="W163" s="4">
        <f t="shared" si="97"/>
        <v>6557</v>
      </c>
      <c r="X163" s="6">
        <v>1334</v>
      </c>
      <c r="Y163" s="4">
        <f t="shared" si="108"/>
        <v>-8770</v>
      </c>
      <c r="Z163" s="5">
        <v>-222</v>
      </c>
      <c r="AA163" s="4">
        <f t="shared" si="102"/>
        <v>-3984</v>
      </c>
      <c r="AB163" s="6">
        <v>-152</v>
      </c>
      <c r="AC163" s="4">
        <f t="shared" si="103"/>
        <v>-162</v>
      </c>
      <c r="AD163" s="5">
        <v>-185</v>
      </c>
      <c r="AE163" s="4">
        <f t="shared" si="104"/>
        <v>-169</v>
      </c>
      <c r="AF163" s="5">
        <v>-4134</v>
      </c>
      <c r="AG163" s="4">
        <f t="shared" si="105"/>
        <v>-223</v>
      </c>
      <c r="AH163" s="5">
        <v>-281</v>
      </c>
      <c r="AI163" s="4">
        <f t="shared" si="99"/>
        <v>-360</v>
      </c>
      <c r="AJ163" s="5">
        <v>-1977</v>
      </c>
      <c r="AK163" s="4">
        <f t="shared" si="100"/>
        <v>-261</v>
      </c>
      <c r="AL163" s="5">
        <v>-259</v>
      </c>
      <c r="AM163" s="4">
        <f t="shared" si="106"/>
        <v>-248</v>
      </c>
      <c r="AN163" s="5">
        <v>-1781</v>
      </c>
      <c r="AO163" s="4">
        <f t="shared" si="107"/>
        <v>-281</v>
      </c>
      <c r="AP163" s="5">
        <v>-274</v>
      </c>
      <c r="AQ163" s="4">
        <f t="shared" si="101"/>
        <v>-240</v>
      </c>
    </row>
    <row r="164" spans="1:45" x14ac:dyDescent="0.2">
      <c r="A164" s="21" t="s">
        <v>167</v>
      </c>
      <c r="B164" s="7">
        <f>SUM(B154:B163)</f>
        <v>-152887</v>
      </c>
      <c r="C164" s="7">
        <f>SUM(C154:C163)</f>
        <v>-18737</v>
      </c>
      <c r="D164" s="7">
        <f>SUM(D154:D163)</f>
        <v>-3508</v>
      </c>
      <c r="E164" s="7">
        <f>SUM(E154:E163)</f>
        <v>579573</v>
      </c>
      <c r="F164" s="7">
        <f>SUM(F154:F163)</f>
        <v>-97462</v>
      </c>
      <c r="G164" s="3"/>
      <c r="H164" s="3"/>
      <c r="I164" s="7">
        <f>SUM(I154:I163)</f>
        <v>-108144</v>
      </c>
      <c r="J164" s="3"/>
      <c r="K164" s="7">
        <f>SUM(K154:K163)</f>
        <v>-20076</v>
      </c>
      <c r="L164" s="3"/>
      <c r="M164" s="7">
        <f>SUM(M154:M163)</f>
        <v>770</v>
      </c>
      <c r="N164" s="3"/>
      <c r="O164" s="7">
        <f>SUM(O154:O163)</f>
        <v>576839</v>
      </c>
      <c r="P164" s="3"/>
      <c r="Q164" s="7">
        <f>SUM(Q154:Q163)</f>
        <v>4751</v>
      </c>
      <c r="R164" s="3"/>
      <c r="S164" s="7">
        <f>SUM(S154:S163)</f>
        <v>79879</v>
      </c>
      <c r="T164" s="3"/>
      <c r="U164" s="3"/>
      <c r="V164" s="7">
        <f>SUM(V154:V163)</f>
        <v>324581</v>
      </c>
      <c r="W164" s="7">
        <f>SUM(W154:W163)</f>
        <v>-432725</v>
      </c>
      <c r="X164" s="7">
        <f t="shared" ref="X164:AS164" si="109">SUM(X154:X163)</f>
        <v>-28664</v>
      </c>
      <c r="Y164" s="7">
        <f t="shared" si="109"/>
        <v>-16079</v>
      </c>
      <c r="Z164" s="7">
        <f t="shared" si="109"/>
        <v>-17105</v>
      </c>
      <c r="AA164" s="7">
        <f t="shared" si="109"/>
        <v>-2971</v>
      </c>
      <c r="AB164" s="7">
        <f t="shared" si="109"/>
        <v>680</v>
      </c>
      <c r="AC164" s="7">
        <f t="shared" si="109"/>
        <v>659</v>
      </c>
      <c r="AD164" s="7">
        <f t="shared" si="109"/>
        <v>-95</v>
      </c>
      <c r="AE164" s="7">
        <f t="shared" si="109"/>
        <v>865</v>
      </c>
      <c r="AF164" s="7">
        <f t="shared" si="109"/>
        <v>-3409</v>
      </c>
      <c r="AG164" s="7">
        <f t="shared" si="109"/>
        <v>-869</v>
      </c>
      <c r="AH164" s="7">
        <f t="shared" si="109"/>
        <v>1077</v>
      </c>
      <c r="AI164" s="7">
        <f t="shared" si="109"/>
        <v>575762</v>
      </c>
      <c r="AJ164" s="7">
        <f t="shared" si="109"/>
        <v>-754</v>
      </c>
      <c r="AK164" s="7">
        <f t="shared" si="109"/>
        <v>3488</v>
      </c>
      <c r="AL164" s="7">
        <f t="shared" si="109"/>
        <v>1761</v>
      </c>
      <c r="AM164" s="7">
        <f t="shared" si="109"/>
        <v>2990</v>
      </c>
      <c r="AN164" s="7">
        <f t="shared" si="109"/>
        <v>-2914</v>
      </c>
      <c r="AO164" s="7">
        <f t="shared" si="109"/>
        <v>-99299</v>
      </c>
      <c r="AP164" s="7">
        <f t="shared" si="109"/>
        <v>131420</v>
      </c>
      <c r="AQ164" s="7">
        <f t="shared" si="109"/>
        <v>-51541</v>
      </c>
      <c r="AR164" s="7">
        <f t="shared" si="109"/>
        <v>0</v>
      </c>
      <c r="AS164" s="7">
        <f t="shared" si="109"/>
        <v>0</v>
      </c>
    </row>
    <row r="166" spans="1:45" x14ac:dyDescent="0.2">
      <c r="A166" s="23" t="s">
        <v>246</v>
      </c>
      <c r="B166" s="6">
        <v>-9750</v>
      </c>
      <c r="Y166" s="4">
        <f t="shared" ref="Y166" si="110">B166-SUM(V166:X166)</f>
        <v>-9750</v>
      </c>
    </row>
    <row r="167" spans="1:45" s="5" customFormat="1" ht="29" x14ac:dyDescent="0.2">
      <c r="A167" s="23" t="s">
        <v>168</v>
      </c>
      <c r="B167" s="6">
        <v>-1627</v>
      </c>
      <c r="C167" s="6">
        <v>-6851</v>
      </c>
      <c r="D167" s="6">
        <v>1887</v>
      </c>
      <c r="E167" s="6">
        <v>-5148</v>
      </c>
      <c r="F167" s="6">
        <v>10322</v>
      </c>
      <c r="I167" s="5">
        <v>177</v>
      </c>
      <c r="K167" s="6">
        <v>-3674</v>
      </c>
      <c r="M167" s="5">
        <v>241</v>
      </c>
      <c r="O167" s="6">
        <v>-3454</v>
      </c>
      <c r="Q167" s="6">
        <v>10118</v>
      </c>
      <c r="S167" s="6">
        <v>-3540</v>
      </c>
      <c r="V167" s="6">
        <v>-1071</v>
      </c>
      <c r="W167" s="4">
        <f t="shared" ref="W167" si="111">I167-V167</f>
        <v>1248</v>
      </c>
      <c r="X167" s="5">
        <v>-939</v>
      </c>
      <c r="Y167" s="4">
        <f t="shared" ref="Y167" si="112">B167-SUM(V167:X167)</f>
        <v>-865</v>
      </c>
      <c r="Z167" s="5">
        <v>-17</v>
      </c>
      <c r="AA167" s="4">
        <f t="shared" ref="AA167" si="113">K167-Z167</f>
        <v>-3657</v>
      </c>
      <c r="AB167" s="6">
        <v>-5120</v>
      </c>
      <c r="AC167" s="4">
        <f t="shared" ref="AC167" si="114">C167-SUM(Z167:AB167)</f>
        <v>1943</v>
      </c>
      <c r="AD167" s="5">
        <v>330</v>
      </c>
      <c r="AE167" s="4">
        <f>M167-AD167</f>
        <v>-89</v>
      </c>
      <c r="AF167" s="6">
        <v>-2911</v>
      </c>
      <c r="AG167" s="4">
        <f>D167-SUM(AD167,AE167,AF167)</f>
        <v>4557</v>
      </c>
      <c r="AH167" s="6">
        <v>-2682</v>
      </c>
      <c r="AI167" s="4">
        <f>O167-AH167</f>
        <v>-772</v>
      </c>
      <c r="AJ167" s="6">
        <v>3888</v>
      </c>
      <c r="AK167" s="4">
        <f>E167-SUM(AH167,AI167,AJ167)</f>
        <v>-5582</v>
      </c>
      <c r="AL167" s="6">
        <v>2786</v>
      </c>
      <c r="AM167" s="4">
        <f>Q167-AL167</f>
        <v>7332</v>
      </c>
      <c r="AN167" s="6">
        <v>-1085</v>
      </c>
      <c r="AO167" s="4">
        <f>F167-SUM(AL167,AM167,AN167)</f>
        <v>1289</v>
      </c>
      <c r="AP167" s="6">
        <v>-2896</v>
      </c>
      <c r="AQ167" s="4">
        <f>S167-AP167</f>
        <v>-644</v>
      </c>
    </row>
    <row r="168" spans="1:45" x14ac:dyDescent="0.2">
      <c r="A168" s="21" t="s">
        <v>169</v>
      </c>
      <c r="B168" s="7">
        <f>SUM(B164,B151,B144,B167,B166)</f>
        <v>-44354</v>
      </c>
      <c r="C168" s="7">
        <f>SUM(C164,C151,C144,C167,C166)</f>
        <v>39428</v>
      </c>
      <c r="D168" s="7">
        <f>SUM(D164,D151,D144,D167,D166)</f>
        <v>100042</v>
      </c>
      <c r="E168" s="7">
        <f>SUM(E164,E151,E144,E167,E166)</f>
        <v>749188</v>
      </c>
      <c r="F168" s="7">
        <f>SUM(F164,F151,F144,F167,F166)</f>
        <v>-30840</v>
      </c>
      <c r="G168" s="3"/>
      <c r="H168" s="3"/>
      <c r="I168" s="7">
        <f>SUM(I164,I151,I144,I167)</f>
        <v>198</v>
      </c>
      <c r="J168" s="3"/>
      <c r="K168" s="7">
        <f>SUM(K164,K151,K144,K167)</f>
        <v>45921</v>
      </c>
      <c r="L168" s="3"/>
      <c r="M168" s="7">
        <f>SUM(M164,M151,M144,M167)</f>
        <v>30780</v>
      </c>
      <c r="N168" s="3"/>
      <c r="O168" s="7">
        <f>SUM(O164,O151,O144,O167)</f>
        <v>618590</v>
      </c>
      <c r="P168" s="3"/>
      <c r="Q168" s="7">
        <f>SUM(Q164,Q151,Q144,Q167)</f>
        <v>173020</v>
      </c>
      <c r="R168" s="3"/>
      <c r="S168" s="7">
        <f>SUM(S164,S151,S144,S167)</f>
        <v>-275168</v>
      </c>
      <c r="T168" s="3"/>
      <c r="U168" s="3"/>
      <c r="V168" s="7">
        <f>SUM(V164,V151,V144,V167)</f>
        <v>367659.01250639948</v>
      </c>
      <c r="W168" s="7">
        <f>SUM(W164,W151,W144,W167)</f>
        <v>-367460.98756058293</v>
      </c>
      <c r="X168" s="7">
        <f>SUM(X164,X151,X144,X167)</f>
        <v>-18439.988366338162</v>
      </c>
      <c r="Y168" s="7">
        <f>SUM(Y164,Y151,Y144,Y167,Y166)</f>
        <v>-26111.98894853564</v>
      </c>
      <c r="Z168" s="7">
        <f t="shared" ref="Z168:AS168" si="115">SUM(Z164,Z151,Z144,Z167)</f>
        <v>41418.012889965103</v>
      </c>
      <c r="AA168" s="7">
        <f t="shared" si="115"/>
        <v>4503.0148304397881</v>
      </c>
      <c r="AB168" s="7">
        <f t="shared" si="115"/>
        <v>6913.0116048092023</v>
      </c>
      <c r="AC168" s="7">
        <f t="shared" si="115"/>
        <v>-13405.990449013989</v>
      </c>
      <c r="AD168" s="7">
        <f t="shared" si="115"/>
        <v>-5993.9860114269977</v>
      </c>
      <c r="AE168" s="7">
        <f t="shared" si="115"/>
        <v>36774.012521485209</v>
      </c>
      <c r="AF168" s="7">
        <f t="shared" si="115"/>
        <v>21984.012192120863</v>
      </c>
      <c r="AG168" s="7">
        <f t="shared" si="115"/>
        <v>47278.013559192827</v>
      </c>
      <c r="AH168" s="7">
        <f t="shared" si="115"/>
        <v>-1442.98106031731</v>
      </c>
      <c r="AI168" s="7">
        <f t="shared" si="115"/>
        <v>620033.01710151066</v>
      </c>
      <c r="AJ168" s="7">
        <f t="shared" si="115"/>
        <v>61868.016608661463</v>
      </c>
      <c r="AK168" s="7">
        <f t="shared" si="115"/>
        <v>68730.019265285606</v>
      </c>
      <c r="AL168" s="7">
        <f t="shared" si="115"/>
        <v>72030.027271634244</v>
      </c>
      <c r="AM168" s="7">
        <f t="shared" si="115"/>
        <v>100990.02775062999</v>
      </c>
      <c r="AN168" s="7">
        <f t="shared" si="115"/>
        <v>107687.0247977649</v>
      </c>
      <c r="AO168" s="7">
        <f t="shared" si="115"/>
        <v>-311546.97440773051</v>
      </c>
      <c r="AP168" s="7">
        <f t="shared" si="115"/>
        <v>-307546.96580815082</v>
      </c>
      <c r="AQ168" s="7">
        <f t="shared" si="115"/>
        <v>32379.021755119014</v>
      </c>
      <c r="AR168" s="7">
        <f t="shared" si="115"/>
        <v>0</v>
      </c>
      <c r="AS168" s="7">
        <f t="shared" si="115"/>
        <v>0</v>
      </c>
    </row>
    <row r="169" spans="1:45" x14ac:dyDescent="0.2">
      <c r="A169" s="23" t="s">
        <v>170</v>
      </c>
      <c r="B169" s="4">
        <f>V169</f>
        <v>206933</v>
      </c>
      <c r="C169" s="4">
        <f>B170</f>
        <v>162579</v>
      </c>
      <c r="D169" s="4">
        <f>C170</f>
        <v>202007</v>
      </c>
      <c r="E169" s="4">
        <f>D170</f>
        <v>302049</v>
      </c>
      <c r="F169" s="4">
        <f>E170</f>
        <v>1051237</v>
      </c>
      <c r="I169" s="4">
        <f>V169</f>
        <v>206933</v>
      </c>
      <c r="K169" s="4">
        <f>Z169</f>
        <v>162579.0476309428</v>
      </c>
      <c r="M169" s="4">
        <f>AD169</f>
        <v>202007.09650714294</v>
      </c>
      <c r="O169" s="4">
        <f>AH169</f>
        <v>302049.14876851486</v>
      </c>
      <c r="Q169" s="4">
        <f>AK170</f>
        <v>1051237.2206836555</v>
      </c>
      <c r="S169" s="4">
        <f>AO170</f>
        <v>1020397.3260959539</v>
      </c>
      <c r="V169" s="6">
        <v>206933</v>
      </c>
      <c r="W169" s="4">
        <f t="shared" ref="W169:AQ169" si="116">V170</f>
        <v>574592.01250639954</v>
      </c>
      <c r="X169" s="4">
        <f t="shared" si="116"/>
        <v>207131.02494581661</v>
      </c>
      <c r="Y169" s="4">
        <f t="shared" si="116"/>
        <v>188691.03657947844</v>
      </c>
      <c r="Z169" s="4">
        <f t="shared" si="116"/>
        <v>162579.0476309428</v>
      </c>
      <c r="AA169" s="4">
        <f t="shared" si="116"/>
        <v>203997.06052090792</v>
      </c>
      <c r="AB169" s="4">
        <f t="shared" si="116"/>
        <v>208500.07535134771</v>
      </c>
      <c r="AC169" s="4">
        <f t="shared" si="116"/>
        <v>215413.08695615691</v>
      </c>
      <c r="AD169" s="4">
        <f t="shared" si="116"/>
        <v>202007.09650714294</v>
      </c>
      <c r="AE169" s="4">
        <f t="shared" si="116"/>
        <v>196013.11049571593</v>
      </c>
      <c r="AF169" s="4">
        <f t="shared" si="116"/>
        <v>232787.12301720114</v>
      </c>
      <c r="AG169" s="4">
        <f t="shared" si="116"/>
        <v>254771.135209322</v>
      </c>
      <c r="AH169" s="4">
        <f t="shared" si="116"/>
        <v>302049.14876851486</v>
      </c>
      <c r="AI169" s="4">
        <f t="shared" si="116"/>
        <v>300606.16770819755</v>
      </c>
      <c r="AJ169" s="4">
        <f t="shared" si="116"/>
        <v>920639.18480970827</v>
      </c>
      <c r="AK169" s="4">
        <f t="shared" si="116"/>
        <v>982507.20141836978</v>
      </c>
      <c r="AL169" s="4">
        <f t="shared" si="116"/>
        <v>1051237.2206836555</v>
      </c>
      <c r="AM169" s="4">
        <f t="shared" si="116"/>
        <v>1123267.2479552897</v>
      </c>
      <c r="AN169" s="4">
        <f t="shared" si="116"/>
        <v>1224257.2757059196</v>
      </c>
      <c r="AO169" s="4">
        <f t="shared" si="116"/>
        <v>1331944.3005036844</v>
      </c>
      <c r="AP169" s="4">
        <f t="shared" si="116"/>
        <v>1020397.3260959539</v>
      </c>
      <c r="AQ169" s="4">
        <f t="shared" si="116"/>
        <v>712850.36028780311</v>
      </c>
    </row>
    <row r="170" spans="1:45" x14ac:dyDescent="0.2">
      <c r="A170" s="21" t="s">
        <v>171</v>
      </c>
      <c r="B170" s="7">
        <f>SUM(B168,B169)</f>
        <v>162579</v>
      </c>
      <c r="C170" s="7">
        <f>SUM(C168,C169)</f>
        <v>202007</v>
      </c>
      <c r="D170" s="7">
        <f>SUM(D168,D169)</f>
        <v>302049</v>
      </c>
      <c r="E170" s="7">
        <f>SUM(E168,E169)</f>
        <v>1051237</v>
      </c>
      <c r="F170" s="7">
        <f>SUM(F168,F169)</f>
        <v>1020397</v>
      </c>
      <c r="G170" s="3"/>
      <c r="H170" s="3"/>
      <c r="I170" s="7">
        <f>SUM(I168,I169)</f>
        <v>207131</v>
      </c>
      <c r="J170" s="3"/>
      <c r="K170" s="7">
        <f>SUM(K168,K169)</f>
        <v>208500.0476309428</v>
      </c>
      <c r="L170" s="3"/>
      <c r="M170" s="7">
        <f>SUM(M168,M169)</f>
        <v>232787.09650714294</v>
      </c>
      <c r="N170" s="3"/>
      <c r="O170" s="7">
        <f>SUM(O168,O169)</f>
        <v>920639.14876851486</v>
      </c>
      <c r="P170" s="3"/>
      <c r="Q170" s="7">
        <f>SUM(Q168,Q169)</f>
        <v>1224257.2206836555</v>
      </c>
      <c r="R170" s="3"/>
      <c r="S170" s="7">
        <f>SUM(S168,S169)</f>
        <v>745229.32609595393</v>
      </c>
      <c r="T170" s="3"/>
      <c r="U170" s="3"/>
      <c r="V170" s="7">
        <f>SUM(V168,V169)</f>
        <v>574592.01250639954</v>
      </c>
      <c r="W170" s="7">
        <f>SUM(W168,W169)</f>
        <v>207131.02494581661</v>
      </c>
      <c r="X170" s="7">
        <f t="shared" ref="X170:AS170" si="117">SUM(X168,X169)</f>
        <v>188691.03657947844</v>
      </c>
      <c r="Y170" s="7">
        <f t="shared" si="117"/>
        <v>162579.0476309428</v>
      </c>
      <c r="Z170" s="7">
        <f t="shared" si="117"/>
        <v>203997.06052090792</v>
      </c>
      <c r="AA170" s="7">
        <f t="shared" si="117"/>
        <v>208500.07535134771</v>
      </c>
      <c r="AB170" s="7">
        <f t="shared" si="117"/>
        <v>215413.08695615691</v>
      </c>
      <c r="AC170" s="7">
        <f t="shared" si="117"/>
        <v>202007.09650714294</v>
      </c>
      <c r="AD170" s="7">
        <f t="shared" si="117"/>
        <v>196013.11049571593</v>
      </c>
      <c r="AE170" s="7">
        <f t="shared" si="117"/>
        <v>232787.12301720114</v>
      </c>
      <c r="AF170" s="7">
        <f t="shared" si="117"/>
        <v>254771.135209322</v>
      </c>
      <c r="AG170" s="7">
        <f t="shared" si="117"/>
        <v>302049.14876851486</v>
      </c>
      <c r="AH170" s="7">
        <f t="shared" si="117"/>
        <v>300606.16770819755</v>
      </c>
      <c r="AI170" s="7">
        <f t="shared" si="117"/>
        <v>920639.18480970827</v>
      </c>
      <c r="AJ170" s="7">
        <f t="shared" si="117"/>
        <v>982507.20141836978</v>
      </c>
      <c r="AK170" s="7">
        <f t="shared" si="117"/>
        <v>1051237.2206836555</v>
      </c>
      <c r="AL170" s="7">
        <f t="shared" si="117"/>
        <v>1123267.2479552897</v>
      </c>
      <c r="AM170" s="7">
        <f t="shared" si="117"/>
        <v>1224257.2757059196</v>
      </c>
      <c r="AN170" s="7">
        <f t="shared" si="117"/>
        <v>1331944.3005036844</v>
      </c>
      <c r="AO170" s="7">
        <f t="shared" si="117"/>
        <v>1020397.3260959539</v>
      </c>
      <c r="AP170" s="7">
        <f t="shared" si="117"/>
        <v>712850.36028780311</v>
      </c>
      <c r="AQ170" s="7">
        <f t="shared" si="117"/>
        <v>745229.38204292208</v>
      </c>
      <c r="AR170" s="7">
        <f t="shared" si="117"/>
        <v>0</v>
      </c>
      <c r="AS170" s="7">
        <f t="shared" si="117"/>
        <v>0</v>
      </c>
    </row>
    <row r="172" spans="1:45" x14ac:dyDescent="0.2">
      <c r="A172" s="19" t="s">
        <v>172</v>
      </c>
    </row>
    <row r="173" spans="1:45" x14ac:dyDescent="0.2">
      <c r="A173" s="23" t="s">
        <v>173</v>
      </c>
      <c r="B173" s="4">
        <f>B144</f>
        <v>154794</v>
      </c>
      <c r="C173" s="4">
        <f>C144</f>
        <v>24500</v>
      </c>
      <c r="D173" s="4">
        <f>D144</f>
        <v>124971</v>
      </c>
      <c r="E173" s="4">
        <f>E144</f>
        <v>238175</v>
      </c>
      <c r="F173" s="4">
        <f>F144</f>
        <v>405952</v>
      </c>
      <c r="I173" s="4">
        <f>I144</f>
        <v>122680</v>
      </c>
      <c r="K173" s="4">
        <f>K144</f>
        <v>22656</v>
      </c>
      <c r="M173" s="4">
        <f>M144</f>
        <v>42989</v>
      </c>
      <c r="O173" s="4">
        <f>O144</f>
        <v>93025</v>
      </c>
      <c r="Q173" s="4">
        <f>Q144</f>
        <v>168802</v>
      </c>
      <c r="S173" s="4">
        <f>S144</f>
        <v>173592</v>
      </c>
      <c r="V173" s="4">
        <f t="shared" ref="V173:AS173" si="118">V144</f>
        <v>49955.012506399478</v>
      </c>
      <c r="W173" s="4">
        <f t="shared" si="118"/>
        <v>72725.0124394171</v>
      </c>
      <c r="X173" s="4">
        <f t="shared" si="118"/>
        <v>18467.011633661838</v>
      </c>
      <c r="Y173" s="4">
        <f t="shared" si="118"/>
        <v>13647.01105146436</v>
      </c>
      <c r="Z173" s="4">
        <f t="shared" si="118"/>
        <v>7591.012889965099</v>
      </c>
      <c r="AA173" s="4">
        <f t="shared" si="118"/>
        <v>15065.014830439788</v>
      </c>
      <c r="AB173" s="4">
        <f t="shared" si="118"/>
        <v>14874.011604809202</v>
      </c>
      <c r="AC173" s="4">
        <f t="shared" si="118"/>
        <v>-13029.990449013989</v>
      </c>
      <c r="AD173" s="4">
        <f t="shared" si="118"/>
        <v>1429.0139885730023</v>
      </c>
      <c r="AE173" s="4">
        <f t="shared" si="118"/>
        <v>41560.012521485209</v>
      </c>
      <c r="AF173" s="4">
        <f t="shared" si="118"/>
        <v>34087.012192120863</v>
      </c>
      <c r="AG173" s="4">
        <f t="shared" si="118"/>
        <v>47895.013559192827</v>
      </c>
      <c r="AH173" s="4">
        <f t="shared" si="118"/>
        <v>41308.01893968269</v>
      </c>
      <c r="AI173" s="4">
        <f t="shared" si="118"/>
        <v>51717.017101510661</v>
      </c>
      <c r="AJ173" s="4">
        <f t="shared" si="118"/>
        <v>65301.016608661463</v>
      </c>
      <c r="AK173" s="4">
        <f t="shared" si="118"/>
        <v>79849.019265285606</v>
      </c>
      <c r="AL173" s="4">
        <f t="shared" si="118"/>
        <v>72117.027271634244</v>
      </c>
      <c r="AM173" s="4">
        <f t="shared" si="118"/>
        <v>96685.02775062999</v>
      </c>
      <c r="AN173" s="4">
        <f t="shared" si="118"/>
        <v>117829.0247977649</v>
      </c>
      <c r="AO173" s="4">
        <f t="shared" si="118"/>
        <v>119321.02559226949</v>
      </c>
      <c r="AP173" s="4">
        <f t="shared" si="118"/>
        <v>85501.034191849147</v>
      </c>
      <c r="AQ173" s="4">
        <f t="shared" si="118"/>
        <v>88091.021755119014</v>
      </c>
      <c r="AR173" s="4">
        <f t="shared" si="118"/>
        <v>0</v>
      </c>
      <c r="AS173" s="4">
        <f t="shared" si="118"/>
        <v>0</v>
      </c>
    </row>
    <row r="174" spans="1:45" x14ac:dyDescent="0.2">
      <c r="A174" s="23" t="s">
        <v>174</v>
      </c>
      <c r="B174" s="4">
        <f>B148</f>
        <v>-34682</v>
      </c>
      <c r="C174" s="4">
        <f>C148</f>
        <v>-19747</v>
      </c>
      <c r="D174" s="4">
        <f>D148</f>
        <v>-26884</v>
      </c>
      <c r="E174" s="4">
        <f>E148</f>
        <v>-30562</v>
      </c>
      <c r="F174" s="4">
        <f>F148</f>
        <v>-22891</v>
      </c>
      <c r="I174" s="4">
        <f>I148</f>
        <v>-20476</v>
      </c>
      <c r="K174" s="4">
        <f>K148</f>
        <v>-10663</v>
      </c>
      <c r="M174" s="4">
        <f>M148</f>
        <v>-12498</v>
      </c>
      <c r="O174" s="4">
        <f>O148</f>
        <v>-14255</v>
      </c>
      <c r="Q174" s="4">
        <f>Q148</f>
        <v>-10656</v>
      </c>
      <c r="S174" s="4">
        <f>S148</f>
        <v>-13132</v>
      </c>
      <c r="V174" s="4">
        <f t="shared" ref="V174:AS174" si="119">V148</f>
        <v>-11412</v>
      </c>
      <c r="W174" s="4">
        <f t="shared" si="119"/>
        <v>-9064</v>
      </c>
      <c r="X174" s="4">
        <f t="shared" si="119"/>
        <v>-7305</v>
      </c>
      <c r="Y174" s="4">
        <f t="shared" si="119"/>
        <v>-6901</v>
      </c>
      <c r="Z174" s="4">
        <f t="shared" si="119"/>
        <v>-5369</v>
      </c>
      <c r="AA174" s="4">
        <f t="shared" si="119"/>
        <v>-5294</v>
      </c>
      <c r="AB174" s="4">
        <f t="shared" si="119"/>
        <v>-4223</v>
      </c>
      <c r="AC174" s="4">
        <f t="shared" si="119"/>
        <v>-4861</v>
      </c>
      <c r="AD174" s="4">
        <f t="shared" si="119"/>
        <v>-6902</v>
      </c>
      <c r="AE174" s="4">
        <f t="shared" si="119"/>
        <v>-5596</v>
      </c>
      <c r="AF174" s="4">
        <f t="shared" si="119"/>
        <v>-5806</v>
      </c>
      <c r="AG174" s="4">
        <f t="shared" si="119"/>
        <v>-8580</v>
      </c>
      <c r="AH174" s="4">
        <f t="shared" si="119"/>
        <v>-7145</v>
      </c>
      <c r="AI174" s="4">
        <f t="shared" si="119"/>
        <v>-7110</v>
      </c>
      <c r="AJ174" s="4">
        <f t="shared" si="119"/>
        <v>-6623</v>
      </c>
      <c r="AK174" s="4">
        <f t="shared" si="119"/>
        <v>-9684</v>
      </c>
      <c r="AL174" s="4">
        <f t="shared" si="119"/>
        <v>-4639</v>
      </c>
      <c r="AM174" s="4">
        <f t="shared" si="119"/>
        <v>-6017</v>
      </c>
      <c r="AN174" s="4">
        <f t="shared" si="119"/>
        <v>-4421</v>
      </c>
      <c r="AO174" s="4">
        <f t="shared" si="119"/>
        <v>-7814</v>
      </c>
      <c r="AP174" s="4">
        <f t="shared" si="119"/>
        <v>-6527</v>
      </c>
      <c r="AQ174" s="4">
        <f t="shared" si="119"/>
        <v>-6605</v>
      </c>
      <c r="AR174" s="4">
        <f t="shared" si="119"/>
        <v>0</v>
      </c>
      <c r="AS174" s="4">
        <f t="shared" si="119"/>
        <v>0</v>
      </c>
    </row>
    <row r="175" spans="1:45" x14ac:dyDescent="0.2">
      <c r="A175" s="22" t="s">
        <v>60</v>
      </c>
      <c r="B175" s="4"/>
      <c r="C175" s="4"/>
      <c r="E175" s="4"/>
      <c r="F175" s="4"/>
      <c r="I175" s="4"/>
      <c r="K175" s="4"/>
      <c r="M175" s="4"/>
      <c r="O175" s="4"/>
      <c r="Q175" s="4"/>
      <c r="S175" s="4"/>
      <c r="V175" s="30">
        <f t="shared" ref="V175:AQ175" si="120">-V174/V10</f>
        <v>2.1964147551648081E-2</v>
      </c>
      <c r="W175" s="30">
        <f t="shared" si="120"/>
        <v>1.8520183403757978E-2</v>
      </c>
      <c r="X175" s="30">
        <f t="shared" si="120"/>
        <v>1.5001571006409295E-2</v>
      </c>
      <c r="Y175" s="30">
        <f t="shared" si="120"/>
        <v>1.4210202270420087E-2</v>
      </c>
      <c r="Z175" s="30">
        <f t="shared" si="120"/>
        <v>1.1295286863259497E-2</v>
      </c>
      <c r="AA175" s="30">
        <f t="shared" si="120"/>
        <v>1.2257977873585841E-2</v>
      </c>
      <c r="AB175" s="30">
        <f t="shared" si="120"/>
        <v>1.0034215653661549E-2</v>
      </c>
      <c r="AC175" s="30">
        <f t="shared" si="120"/>
        <v>1.0398061139144925E-2</v>
      </c>
      <c r="AD175" s="30">
        <f t="shared" si="120"/>
        <v>1.3954203041539126E-2</v>
      </c>
      <c r="AE175" s="30">
        <f t="shared" si="120"/>
        <v>1.0342469551074722E-2</v>
      </c>
      <c r="AF175" s="30">
        <f t="shared" si="120"/>
        <v>1.0353583987788264E-2</v>
      </c>
      <c r="AG175" s="30">
        <f t="shared" si="120"/>
        <v>1.4865560239304333E-2</v>
      </c>
      <c r="AH175" s="30">
        <f t="shared" si="120"/>
        <v>1.1840408854537802E-2</v>
      </c>
      <c r="AI175" s="30">
        <f t="shared" si="120"/>
        <v>1.1673554227846106E-2</v>
      </c>
      <c r="AJ175" s="30">
        <f t="shared" si="120"/>
        <v>1.0761021801508461E-2</v>
      </c>
      <c r="AK175" s="30">
        <f t="shared" si="120"/>
        <v>1.5801221804511278E-2</v>
      </c>
      <c r="AL175" s="30">
        <f t="shared" si="120"/>
        <v>7.640603408377817E-3</v>
      </c>
      <c r="AM175" s="30">
        <f t="shared" si="120"/>
        <v>9.9165898928902808E-3</v>
      </c>
      <c r="AN175" s="30">
        <f t="shared" si="120"/>
        <v>7.6011175585643668E-3</v>
      </c>
      <c r="AO175" s="30">
        <f t="shared" si="120"/>
        <v>1.3669035802937775E-2</v>
      </c>
      <c r="AP175" s="30">
        <f t="shared" si="120"/>
        <v>1.1119591401439907E-2</v>
      </c>
      <c r="AQ175" s="30">
        <f t="shared" si="120"/>
        <v>1.1733836440446116E-2</v>
      </c>
      <c r="AR175" s="4"/>
      <c r="AS175" s="4"/>
    </row>
    <row r="176" spans="1:45" x14ac:dyDescent="0.2">
      <c r="A176" s="21" t="s">
        <v>175</v>
      </c>
      <c r="B176" s="7">
        <f>SUM(B173:B174)</f>
        <v>120112</v>
      </c>
      <c r="C176" s="7">
        <f>SUM(C173:C174)</f>
        <v>4753</v>
      </c>
      <c r="D176" s="7">
        <f>SUM(D173:D174)</f>
        <v>98087</v>
      </c>
      <c r="E176" s="7">
        <f>SUM(E173:E174)</f>
        <v>207613</v>
      </c>
      <c r="F176" s="7">
        <f>SUM(F173:F174)</f>
        <v>383061</v>
      </c>
      <c r="G176" s="3"/>
      <c r="H176" s="3"/>
      <c r="I176" s="7">
        <f>SUM(I173:I174)</f>
        <v>102204</v>
      </c>
      <c r="J176" s="3"/>
      <c r="K176" s="7">
        <f>SUM(K173:K174)</f>
        <v>11993</v>
      </c>
      <c r="L176" s="3"/>
      <c r="M176" s="7">
        <f>SUM(M173:M174)</f>
        <v>30491</v>
      </c>
      <c r="N176" s="3"/>
      <c r="O176" s="7">
        <f>SUM(O173:O174)</f>
        <v>78770</v>
      </c>
      <c r="P176" s="3"/>
      <c r="Q176" s="7">
        <f>SUM(Q173:Q174)</f>
        <v>158146</v>
      </c>
      <c r="R176" s="3"/>
      <c r="S176" s="7">
        <f>SUM(S173:S174)</f>
        <v>160460</v>
      </c>
      <c r="T176" s="7"/>
      <c r="U176" s="7"/>
      <c r="V176" s="7">
        <f>SUM(V173:V174)</f>
        <v>38543.012506399478</v>
      </c>
      <c r="W176" s="7">
        <f>SUM(W173:W174)</f>
        <v>63661.0124394171</v>
      </c>
      <c r="X176" s="7">
        <f t="shared" ref="X176:AS176" si="121">SUM(X173:X174)</f>
        <v>11162.011633661838</v>
      </c>
      <c r="Y176" s="7">
        <f t="shared" si="121"/>
        <v>6746.0110514643602</v>
      </c>
      <c r="Z176" s="7">
        <f t="shared" si="121"/>
        <v>2222.012889965099</v>
      </c>
      <c r="AA176" s="7">
        <f t="shared" si="121"/>
        <v>9771.0148304397881</v>
      </c>
      <c r="AB176" s="7">
        <f t="shared" si="121"/>
        <v>10651.011604809202</v>
      </c>
      <c r="AC176" s="7">
        <f t="shared" si="121"/>
        <v>-17890.990449013989</v>
      </c>
      <c r="AD176" s="7">
        <f t="shared" si="121"/>
        <v>-5472.9860114269977</v>
      </c>
      <c r="AE176" s="7">
        <f t="shared" si="121"/>
        <v>35964.012521485209</v>
      </c>
      <c r="AF176" s="7">
        <f t="shared" si="121"/>
        <v>28281.012192120863</v>
      </c>
      <c r="AG176" s="7">
        <f t="shared" si="121"/>
        <v>39315.013559192827</v>
      </c>
      <c r="AH176" s="7">
        <f t="shared" si="121"/>
        <v>34163.01893968269</v>
      </c>
      <c r="AI176" s="7">
        <f t="shared" si="121"/>
        <v>44607.017101510661</v>
      </c>
      <c r="AJ176" s="7">
        <f t="shared" si="121"/>
        <v>58678.016608661463</v>
      </c>
      <c r="AK176" s="7">
        <f t="shared" si="121"/>
        <v>70165.019265285606</v>
      </c>
      <c r="AL176" s="7">
        <f t="shared" si="121"/>
        <v>67478.027271634244</v>
      </c>
      <c r="AM176" s="7">
        <f t="shared" si="121"/>
        <v>90668.02775062999</v>
      </c>
      <c r="AN176" s="7">
        <f t="shared" si="121"/>
        <v>113408.0247977649</v>
      </c>
      <c r="AO176" s="7">
        <f t="shared" si="121"/>
        <v>111507.02559226949</v>
      </c>
      <c r="AP176" s="7">
        <f t="shared" si="121"/>
        <v>78974.034191849147</v>
      </c>
      <c r="AQ176" s="7">
        <f t="shared" si="121"/>
        <v>81486.021755119014</v>
      </c>
      <c r="AR176" s="7">
        <f t="shared" si="121"/>
        <v>0</v>
      </c>
      <c r="AS176" s="7">
        <f t="shared" si="121"/>
        <v>0</v>
      </c>
    </row>
    <row r="177" spans="1:45" x14ac:dyDescent="0.2">
      <c r="A177" s="22" t="s">
        <v>176</v>
      </c>
      <c r="B177" s="8">
        <f>B176/B10</f>
        <v>6.0614502021627277E-2</v>
      </c>
      <c r="C177" s="8">
        <f>C176/C10</f>
        <v>2.6470791350238698E-3</v>
      </c>
      <c r="D177" s="30">
        <f>D176/D10</f>
        <v>4.5125833109821205E-2</v>
      </c>
      <c r="E177" s="8">
        <f>E176/E10</f>
        <v>8.5058117358922367E-2</v>
      </c>
      <c r="F177" s="8">
        <f>F176/F10</f>
        <v>0.16182070417549216</v>
      </c>
      <c r="I177" s="8" t="e">
        <f>I176/I10</f>
        <v>#DIV/0!</v>
      </c>
      <c r="K177" s="8" t="e">
        <f>K176/K10</f>
        <v>#DIV/0!</v>
      </c>
      <c r="M177" s="8" t="e">
        <f>M176/M10</f>
        <v>#DIV/0!</v>
      </c>
      <c r="O177" s="8" t="e">
        <f>O176/O10</f>
        <v>#DIV/0!</v>
      </c>
      <c r="Q177" s="8" t="e">
        <f>Q176/Q10</f>
        <v>#DIV/0!</v>
      </c>
      <c r="S177" s="8" t="e">
        <f>S176/S10</f>
        <v>#DIV/0!</v>
      </c>
      <c r="V177" s="8">
        <f t="shared" ref="V177:AS177" si="122">V176/V10</f>
        <v>7.4181950032910574E-2</v>
      </c>
      <c r="W177" s="8">
        <f t="shared" si="122"/>
        <v>0.13007652538028716</v>
      </c>
      <c r="X177" s="8">
        <f t="shared" si="122"/>
        <v>2.2922342244592015E-2</v>
      </c>
      <c r="Y177" s="8">
        <f t="shared" si="122"/>
        <v>1.3891056594667129E-2</v>
      </c>
      <c r="Z177" s="8">
        <f t="shared" si="122"/>
        <v>4.6746643706492928E-3</v>
      </c>
      <c r="AA177" s="8">
        <f t="shared" si="122"/>
        <v>2.2624269662638842E-2</v>
      </c>
      <c r="AB177" s="8">
        <f t="shared" si="122"/>
        <v>2.5307730848284946E-2</v>
      </c>
      <c r="AC177" s="8">
        <f t="shared" si="122"/>
        <v>-3.8270235039848874E-2</v>
      </c>
      <c r="AD177" s="8">
        <f t="shared" si="122"/>
        <v>-1.1065076506368546E-2</v>
      </c>
      <c r="AE177" s="8">
        <f t="shared" si="122"/>
        <v>6.6468317447807512E-2</v>
      </c>
      <c r="AF177" s="8">
        <f t="shared" si="122"/>
        <v>5.0432282981534141E-2</v>
      </c>
      <c r="AG177" s="8">
        <f t="shared" si="122"/>
        <v>6.8116515428117433E-2</v>
      </c>
      <c r="AH177" s="8">
        <f t="shared" si="122"/>
        <v>5.661359159568391E-2</v>
      </c>
      <c r="AI177" s="8">
        <f t="shared" si="122"/>
        <v>7.3238035594506798E-2</v>
      </c>
      <c r="AJ177" s="8">
        <f t="shared" si="122"/>
        <v>9.5339788010732521E-2</v>
      </c>
      <c r="AK177" s="8">
        <f t="shared" si="122"/>
        <v>0.11448709544904841</v>
      </c>
      <c r="AL177" s="8">
        <f t="shared" si="122"/>
        <v>0.11113878964480704</v>
      </c>
      <c r="AM177" s="8">
        <f t="shared" si="122"/>
        <v>0.14942955752039105</v>
      </c>
      <c r="AN177" s="8">
        <f t="shared" si="122"/>
        <v>0.19498478366260891</v>
      </c>
      <c r="AO177" s="8">
        <f t="shared" si="122"/>
        <v>0.19505931982337221</v>
      </c>
      <c r="AP177" s="8">
        <f t="shared" si="122"/>
        <v>0.13454251440733983</v>
      </c>
      <c r="AQ177" s="8">
        <f t="shared" si="122"/>
        <v>0.1447605831123695</v>
      </c>
      <c r="AR177" s="8" t="e">
        <f t="shared" si="122"/>
        <v>#DIV/0!</v>
      </c>
      <c r="AS177" s="8" t="e">
        <f t="shared" si="122"/>
        <v>#DIV/0!</v>
      </c>
    </row>
    <row r="178" spans="1:45" x14ac:dyDescent="0.2">
      <c r="A178" s="23" t="s">
        <v>177</v>
      </c>
      <c r="B178" s="9">
        <f>B176/B59</f>
        <v>2.7112706259452382</v>
      </c>
      <c r="C178" s="9">
        <f>C176/C59</f>
        <v>0.10538568989601117</v>
      </c>
      <c r="D178" s="31">
        <f>D176/D59</f>
        <v>2.1399554934985603</v>
      </c>
      <c r="E178" s="9">
        <f>E176/E59</f>
        <v>4.4950527204624677</v>
      </c>
      <c r="F178" s="9">
        <f>F176/F59</f>
        <v>8.2693478401657927</v>
      </c>
      <c r="I178" s="9" t="e">
        <f>I176/I59</f>
        <v>#DIV/0!</v>
      </c>
      <c r="K178" s="9" t="e">
        <f>K176/K59</f>
        <v>#DIV/0!</v>
      </c>
      <c r="M178" s="9" t="e">
        <f>M176/M59</f>
        <v>#DIV/0!</v>
      </c>
      <c r="O178" s="9" t="e">
        <f>O176/O59</f>
        <v>#DIV/0!</v>
      </c>
      <c r="Q178" s="9" t="e">
        <f>Q176/Q59</f>
        <v>#DIV/0!</v>
      </c>
      <c r="S178" s="9" t="e">
        <f>S176/S59</f>
        <v>#DIV/0!</v>
      </c>
      <c r="V178" s="9">
        <f t="shared" ref="V178:AS178" si="123">V176/V59</f>
        <v>0.91847804085405294</v>
      </c>
      <c r="W178" s="9">
        <f t="shared" si="123"/>
        <v>1.4102390775645097</v>
      </c>
      <c r="X178" s="9">
        <f t="shared" si="123"/>
        <v>0.24672881595185317</v>
      </c>
      <c r="Y178" s="9">
        <f t="shared" si="123"/>
        <v>0.14909629694258852</v>
      </c>
      <c r="Z178" s="9">
        <f t="shared" si="123"/>
        <v>4.9116111626107406E-2</v>
      </c>
      <c r="AA178" s="9">
        <f t="shared" si="123"/>
        <v>0.21681566658766671</v>
      </c>
      <c r="AB178" s="9">
        <f t="shared" si="123"/>
        <v>0.23496606231654979</v>
      </c>
      <c r="AC178" s="9">
        <f t="shared" si="123"/>
        <v>-0.39390982736330588</v>
      </c>
      <c r="AD178" s="9">
        <f t="shared" si="123"/>
        <v>-0.12086716308003352</v>
      </c>
      <c r="AE178" s="9">
        <f t="shared" si="123"/>
        <v>0.7855663380329222</v>
      </c>
      <c r="AF178" s="9">
        <f t="shared" si="123"/>
        <v>0.61547360592210798</v>
      </c>
      <c r="AG178" s="9">
        <f t="shared" si="123"/>
        <v>0.85395020654646769</v>
      </c>
      <c r="AH178" s="9">
        <f t="shared" si="123"/>
        <v>0.73695491381415301</v>
      </c>
      <c r="AI178" s="9">
        <f t="shared" si="123"/>
        <v>0.9587546125072145</v>
      </c>
      <c r="AJ178" s="9">
        <f t="shared" si="123"/>
        <v>1.2800893695032933</v>
      </c>
      <c r="AK178" s="9">
        <f t="shared" si="123"/>
        <v>1.5241337054758364</v>
      </c>
      <c r="AL178" s="9">
        <f t="shared" si="123"/>
        <v>1.461449087577628</v>
      </c>
      <c r="AM178" s="9">
        <f t="shared" si="123"/>
        <v>1.9548949493451917</v>
      </c>
      <c r="AN178" s="9">
        <f t="shared" si="123"/>
        <v>2.4305191769773873</v>
      </c>
      <c r="AO178" s="9">
        <f t="shared" si="123"/>
        <v>2.419857326221126</v>
      </c>
      <c r="AP178" s="9">
        <f t="shared" si="123"/>
        <v>1.7368382272234253</v>
      </c>
      <c r="AQ178" s="9">
        <f t="shared" si="123"/>
        <v>1.8267131849694902</v>
      </c>
      <c r="AR178" s="9" t="e">
        <f t="shared" si="123"/>
        <v>#DIV/0!</v>
      </c>
      <c r="AS178" s="9" t="e">
        <f t="shared" si="123"/>
        <v>#DIV/0!</v>
      </c>
    </row>
    <row r="181" spans="1:45" ht="17" thickBot="1" x14ac:dyDescent="0.25">
      <c r="A181" s="26" t="s">
        <v>218</v>
      </c>
      <c r="B181" s="10"/>
      <c r="C181" s="10"/>
      <c r="D181" s="4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</row>
    <row r="182" spans="1:45" x14ac:dyDescent="0.2">
      <c r="B182" s="11" t="s">
        <v>3</v>
      </c>
      <c r="C182" s="11" t="s">
        <v>4</v>
      </c>
      <c r="D182" s="41" t="s">
        <v>5</v>
      </c>
      <c r="E182" s="11" t="s">
        <v>6</v>
      </c>
      <c r="F182" s="11" t="s">
        <v>7</v>
      </c>
      <c r="G182" s="11" t="s">
        <v>8</v>
      </c>
      <c r="I182" s="11" t="s">
        <v>9</v>
      </c>
      <c r="J182" s="11" t="s">
        <v>10</v>
      </c>
      <c r="K182" s="11" t="s">
        <v>11</v>
      </c>
      <c r="L182" s="11" t="s">
        <v>12</v>
      </c>
      <c r="M182" s="11" t="s">
        <v>13</v>
      </c>
      <c r="N182" s="11" t="s">
        <v>14</v>
      </c>
      <c r="O182" s="11" t="s">
        <v>15</v>
      </c>
      <c r="P182" s="11" t="s">
        <v>16</v>
      </c>
      <c r="Q182" s="11" t="s">
        <v>17</v>
      </c>
      <c r="R182" s="11" t="s">
        <v>18</v>
      </c>
      <c r="S182" s="11" t="s">
        <v>19</v>
      </c>
      <c r="T182" s="11" t="s">
        <v>20</v>
      </c>
      <c r="V182" s="11" t="s">
        <v>21</v>
      </c>
      <c r="W182" s="11" t="s">
        <v>22</v>
      </c>
      <c r="X182" s="11" t="s">
        <v>23</v>
      </c>
      <c r="Y182" s="11" t="s">
        <v>24</v>
      </c>
      <c r="Z182" s="11" t="s">
        <v>25</v>
      </c>
      <c r="AA182" s="11" t="s">
        <v>26</v>
      </c>
      <c r="AB182" s="11" t="s">
        <v>27</v>
      </c>
      <c r="AC182" s="11" t="s">
        <v>28</v>
      </c>
      <c r="AD182" s="11" t="s">
        <v>29</v>
      </c>
      <c r="AE182" s="11" t="s">
        <v>30</v>
      </c>
      <c r="AF182" s="11" t="s">
        <v>31</v>
      </c>
      <c r="AG182" s="11" t="s">
        <v>32</v>
      </c>
      <c r="AH182" s="11" t="s">
        <v>33</v>
      </c>
      <c r="AI182" s="11" t="s">
        <v>34</v>
      </c>
      <c r="AJ182" s="11" t="s">
        <v>35</v>
      </c>
      <c r="AK182" s="11" t="s">
        <v>36</v>
      </c>
      <c r="AL182" s="11" t="s">
        <v>37</v>
      </c>
      <c r="AM182" s="11" t="s">
        <v>38</v>
      </c>
      <c r="AN182" s="11" t="s">
        <v>39</v>
      </c>
      <c r="AO182" s="11" t="s">
        <v>40</v>
      </c>
      <c r="AP182" s="11" t="s">
        <v>41</v>
      </c>
      <c r="AQ182" s="11" t="s">
        <v>42</v>
      </c>
      <c r="AR182" s="11" t="s">
        <v>43</v>
      </c>
      <c r="AS182" s="11" t="s">
        <v>44</v>
      </c>
    </row>
    <row r="184" spans="1:45" x14ac:dyDescent="0.2">
      <c r="A184" s="27" t="s">
        <v>219</v>
      </c>
    </row>
    <row r="185" spans="1:45" x14ac:dyDescent="0.2">
      <c r="A185" s="25" t="s">
        <v>220</v>
      </c>
      <c r="B185" s="4">
        <f>SUM(V185,W185,X185,Y185)</f>
        <v>652468</v>
      </c>
      <c r="C185" s="4">
        <f t="shared" ref="C185:C194" si="124">SUM(Z185:AC185)</f>
        <v>529628</v>
      </c>
      <c r="D185" s="4">
        <f t="shared" ref="D185:D195" si="125">SUM(AD185:AG185)</f>
        <v>585041</v>
      </c>
      <c r="E185" s="4">
        <f t="shared" ref="E185:E195" si="126">AK185</f>
        <v>151150</v>
      </c>
      <c r="F185" s="4">
        <f t="shared" ref="F185:F195" si="127">SUM(AL185:AO185)</f>
        <v>579050</v>
      </c>
      <c r="V185" s="4">
        <f t="shared" ref="V185:AS185" si="128">V35</f>
        <v>136104</v>
      </c>
      <c r="W185" s="4">
        <f t="shared" si="128"/>
        <v>156807</v>
      </c>
      <c r="X185" s="4">
        <f t="shared" si="128"/>
        <v>130800</v>
      </c>
      <c r="Y185" s="4">
        <f t="shared" si="128"/>
        <v>228757</v>
      </c>
      <c r="Z185" s="4">
        <f t="shared" si="128"/>
        <v>128405</v>
      </c>
      <c r="AA185" s="4">
        <f t="shared" si="128"/>
        <v>159632</v>
      </c>
      <c r="AB185" s="4">
        <f t="shared" si="128"/>
        <v>113174</v>
      </c>
      <c r="AC185" s="4">
        <f t="shared" si="128"/>
        <v>128417</v>
      </c>
      <c r="AD185" s="4">
        <f t="shared" si="128"/>
        <v>166761</v>
      </c>
      <c r="AE185" s="4">
        <f t="shared" si="128"/>
        <v>138847</v>
      </c>
      <c r="AF185" s="4">
        <f t="shared" si="128"/>
        <v>132313</v>
      </c>
      <c r="AG185" s="4">
        <f t="shared" si="128"/>
        <v>147120</v>
      </c>
      <c r="AH185" s="4">
        <f t="shared" si="128"/>
        <v>142579</v>
      </c>
      <c r="AI185" s="4">
        <f t="shared" si="128"/>
        <v>145813</v>
      </c>
      <c r="AJ185" s="4">
        <f t="shared" si="128"/>
        <v>135665</v>
      </c>
      <c r="AK185" s="4">
        <f t="shared" si="128"/>
        <v>151150</v>
      </c>
      <c r="AL185" s="4">
        <f t="shared" si="128"/>
        <v>141006</v>
      </c>
      <c r="AM185" s="4">
        <f t="shared" si="128"/>
        <v>147205</v>
      </c>
      <c r="AN185" s="4">
        <f t="shared" si="128"/>
        <v>137762</v>
      </c>
      <c r="AO185" s="4">
        <f t="shared" si="128"/>
        <v>153077</v>
      </c>
      <c r="AP185" s="4">
        <f t="shared" si="128"/>
        <v>168742</v>
      </c>
      <c r="AQ185" s="4">
        <f t="shared" si="128"/>
        <v>154574</v>
      </c>
      <c r="AR185" s="4">
        <f t="shared" si="128"/>
        <v>0</v>
      </c>
      <c r="AS185" s="4">
        <f t="shared" si="128"/>
        <v>0</v>
      </c>
    </row>
    <row r="186" spans="1:45" s="5" customFormat="1" x14ac:dyDescent="0.2">
      <c r="A186" s="25" t="s">
        <v>221</v>
      </c>
      <c r="B186" s="4">
        <f t="shared" ref="B186:B194" si="129">SUM(V186,W186,X186,Y186)</f>
        <v>-35801</v>
      </c>
      <c r="C186" s="4">
        <f t="shared" si="124"/>
        <v>-25717</v>
      </c>
      <c r="D186" s="4">
        <f t="shared" si="125"/>
        <v>-18918</v>
      </c>
      <c r="E186" s="4">
        <f t="shared" si="126"/>
        <v>-4517</v>
      </c>
      <c r="F186" s="4">
        <f t="shared" si="127"/>
        <v>-18034</v>
      </c>
      <c r="V186" s="6">
        <v>-8973</v>
      </c>
      <c r="W186" s="6">
        <v>-8997</v>
      </c>
      <c r="X186" s="6">
        <v>-8944</v>
      </c>
      <c r="Y186" s="6">
        <v>-8887</v>
      </c>
      <c r="Z186" s="6">
        <v>-6553</v>
      </c>
      <c r="AA186" s="6">
        <v>-6485</v>
      </c>
      <c r="AB186" s="6">
        <v>-6413</v>
      </c>
      <c r="AC186" s="6">
        <v>-6266</v>
      </c>
      <c r="AD186" s="6">
        <v>-5048</v>
      </c>
      <c r="AE186" s="6">
        <v>-4722</v>
      </c>
      <c r="AF186" s="6">
        <v>-4663</v>
      </c>
      <c r="AG186" s="6">
        <v>-4485</v>
      </c>
      <c r="AH186" s="6">
        <v>-3986</v>
      </c>
      <c r="AI186" s="6">
        <v>-4511</v>
      </c>
      <c r="AJ186" s="6">
        <v>-4814</v>
      </c>
      <c r="AK186" s="6">
        <v>-4517</v>
      </c>
      <c r="AL186" s="6">
        <v>-4479</v>
      </c>
      <c r="AM186" s="6">
        <v>-4543</v>
      </c>
      <c r="AN186" s="6">
        <v>-4403</v>
      </c>
      <c r="AO186" s="6">
        <v>-4609</v>
      </c>
      <c r="AP186" s="6">
        <v>-8172</v>
      </c>
      <c r="AQ186" s="6">
        <v>-8478</v>
      </c>
    </row>
    <row r="187" spans="1:45" s="5" customFormat="1" x14ac:dyDescent="0.2">
      <c r="A187" s="25" t="s">
        <v>147</v>
      </c>
      <c r="B187" s="4">
        <f t="shared" si="129"/>
        <v>-54623</v>
      </c>
      <c r="C187" s="4">
        <f t="shared" si="124"/>
        <v>13625</v>
      </c>
      <c r="D187" s="4">
        <f t="shared" si="125"/>
        <v>-43989</v>
      </c>
      <c r="E187" s="4">
        <f t="shared" si="126"/>
        <v>-3303</v>
      </c>
      <c r="F187" s="4">
        <f t="shared" si="127"/>
        <v>-931</v>
      </c>
      <c r="V187" s="6">
        <v>1980</v>
      </c>
      <c r="W187" s="5">
        <v>-192</v>
      </c>
      <c r="X187" s="5">
        <v>-958</v>
      </c>
      <c r="Y187" s="6">
        <v>-55453</v>
      </c>
      <c r="Z187" s="6">
        <v>6366</v>
      </c>
      <c r="AA187" s="6">
        <v>3459</v>
      </c>
      <c r="AB187" s="6">
        <v>1272</v>
      </c>
      <c r="AC187" s="6">
        <v>2528</v>
      </c>
      <c r="AD187" s="6">
        <v>-36609</v>
      </c>
      <c r="AE187" s="5">
        <v>-874</v>
      </c>
      <c r="AF187" s="5">
        <v>615</v>
      </c>
      <c r="AG187" s="6">
        <v>-7121</v>
      </c>
      <c r="AH187" s="5">
        <v>-198</v>
      </c>
      <c r="AI187" s="5">
        <v>99</v>
      </c>
      <c r="AJ187" s="5">
        <v>723</v>
      </c>
      <c r="AK187" s="6">
        <v>-3303</v>
      </c>
      <c r="AL187" s="5">
        <v>553</v>
      </c>
      <c r="AM187" s="6">
        <v>-1237</v>
      </c>
      <c r="AN187" s="5">
        <v>-188</v>
      </c>
      <c r="AO187" s="5">
        <v>-59</v>
      </c>
      <c r="AP187" s="5">
        <v>-214</v>
      </c>
      <c r="AQ187" s="5">
        <v>-233</v>
      </c>
    </row>
    <row r="188" spans="1:45" s="5" customFormat="1" x14ac:dyDescent="0.2">
      <c r="A188" s="25" t="s">
        <v>135</v>
      </c>
      <c r="B188" s="4">
        <f t="shared" si="129"/>
        <v>-64289</v>
      </c>
      <c r="C188" s="4">
        <f t="shared" si="124"/>
        <v>-3505</v>
      </c>
      <c r="D188" s="4">
        <f t="shared" si="125"/>
        <v>-667</v>
      </c>
      <c r="E188" s="4">
        <f t="shared" si="126"/>
        <v>59</v>
      </c>
      <c r="F188" s="4">
        <f t="shared" si="127"/>
        <v>-79</v>
      </c>
      <c r="V188" s="6">
        <v>-1392</v>
      </c>
      <c r="W188" s="6">
        <v>-24711</v>
      </c>
      <c r="X188" s="6">
        <v>-2171</v>
      </c>
      <c r="Y188" s="6">
        <v>-36015</v>
      </c>
      <c r="Z188" s="6">
        <v>-2221</v>
      </c>
      <c r="AA188" s="5">
        <v>-194</v>
      </c>
      <c r="AB188" s="5">
        <v>-767</v>
      </c>
      <c r="AC188" s="5">
        <v>-323</v>
      </c>
      <c r="AD188" s="5">
        <v>-18</v>
      </c>
      <c r="AE188" s="5">
        <v>-612</v>
      </c>
      <c r="AF188" s="5">
        <v>-45</v>
      </c>
      <c r="AG188" s="5">
        <v>8</v>
      </c>
      <c r="AH188" s="5">
        <v>-23</v>
      </c>
      <c r="AI188" s="5">
        <v>65</v>
      </c>
      <c r="AJ188" s="5">
        <v>-698</v>
      </c>
      <c r="AK188" s="5">
        <v>59</v>
      </c>
      <c r="AL188" s="5">
        <v>-79</v>
      </c>
    </row>
    <row r="189" spans="1:45" s="5" customFormat="1" x14ac:dyDescent="0.2">
      <c r="A189" s="23" t="s">
        <v>252</v>
      </c>
      <c r="B189" s="4"/>
      <c r="C189" s="4"/>
      <c r="D189" s="4"/>
      <c r="E189" s="4"/>
      <c r="F189" s="4"/>
    </row>
    <row r="190" spans="1:45" s="5" customFormat="1" x14ac:dyDescent="0.2">
      <c r="A190" s="23" t="s">
        <v>253</v>
      </c>
      <c r="B190" s="4"/>
      <c r="C190" s="4">
        <f t="shared" si="124"/>
        <v>-675</v>
      </c>
      <c r="D190" s="4">
        <f t="shared" si="125"/>
        <v>5</v>
      </c>
      <c r="E190" s="4"/>
      <c r="F190" s="4">
        <f t="shared" si="127"/>
        <v>-1736</v>
      </c>
      <c r="AA190" s="5">
        <v>-710</v>
      </c>
      <c r="AB190" s="5">
        <v>35</v>
      </c>
      <c r="AF190" s="5">
        <v>5</v>
      </c>
      <c r="AN190" s="6">
        <v>-1566</v>
      </c>
      <c r="AO190" s="5">
        <v>-170</v>
      </c>
      <c r="AP190" s="5">
        <v>-20</v>
      </c>
      <c r="AQ190" s="5">
        <v>-455</v>
      </c>
    </row>
    <row r="191" spans="1:45" s="5" customFormat="1" x14ac:dyDescent="0.2">
      <c r="A191" s="23" t="s">
        <v>250</v>
      </c>
      <c r="B191" s="4"/>
      <c r="C191" s="4">
        <f t="shared" si="124"/>
        <v>-8719</v>
      </c>
      <c r="D191" s="4"/>
      <c r="E191" s="4"/>
      <c r="F191" s="4"/>
      <c r="AC191" s="6">
        <v>-8719</v>
      </c>
    </row>
    <row r="192" spans="1:45" s="5" customFormat="1" x14ac:dyDescent="0.2">
      <c r="A192" s="23" t="s">
        <v>249</v>
      </c>
      <c r="B192" s="4"/>
      <c r="C192" s="4">
        <f t="shared" si="124"/>
        <v>-1885</v>
      </c>
      <c r="D192" s="4"/>
      <c r="E192" s="4"/>
      <c r="F192" s="4"/>
      <c r="AB192" s="6">
        <v>-1885</v>
      </c>
    </row>
    <row r="193" spans="1:45" s="5" customFormat="1" x14ac:dyDescent="0.2">
      <c r="A193" s="23" t="s">
        <v>247</v>
      </c>
      <c r="B193" s="4"/>
      <c r="C193" s="4">
        <f t="shared" si="124"/>
        <v>-38480</v>
      </c>
      <c r="D193" s="4"/>
      <c r="E193" s="4"/>
      <c r="F193" s="4"/>
      <c r="AA193" s="6">
        <v>-38480</v>
      </c>
    </row>
    <row r="194" spans="1:45" s="5" customFormat="1" x14ac:dyDescent="0.2">
      <c r="A194" s="25" t="s">
        <v>222</v>
      </c>
      <c r="B194" s="4">
        <f t="shared" si="129"/>
        <v>-151</v>
      </c>
      <c r="C194" s="4">
        <f t="shared" si="124"/>
        <v>-506</v>
      </c>
      <c r="D194" s="4">
        <f t="shared" si="125"/>
        <v>-144</v>
      </c>
      <c r="E194" s="4">
        <f t="shared" si="126"/>
        <v>-67</v>
      </c>
      <c r="F194" s="4">
        <f t="shared" si="127"/>
        <v>-7433</v>
      </c>
      <c r="V194" s="6">
        <v>377</v>
      </c>
      <c r="W194" s="5">
        <v>109</v>
      </c>
      <c r="X194" s="5">
        <v>-118</v>
      </c>
      <c r="Y194" s="5">
        <v>-519</v>
      </c>
      <c r="Z194" s="5">
        <v>-62</v>
      </c>
      <c r="AA194" s="5">
        <v>-154</v>
      </c>
      <c r="AB194" s="5">
        <v>-154</v>
      </c>
      <c r="AC194" s="5">
        <v>-136</v>
      </c>
      <c r="AD194" s="5">
        <v>-45</v>
      </c>
      <c r="AE194" s="5">
        <v>-44</v>
      </c>
      <c r="AF194" s="5">
        <v>-28</v>
      </c>
      <c r="AG194" s="5">
        <v>-27</v>
      </c>
      <c r="AH194" s="5">
        <v>-318</v>
      </c>
      <c r="AI194" s="5">
        <v>-90</v>
      </c>
      <c r="AJ194" s="5">
        <v>-248</v>
      </c>
      <c r="AK194" s="5">
        <v>-67</v>
      </c>
      <c r="AL194" s="5">
        <v>-51</v>
      </c>
      <c r="AM194" s="5">
        <v>-33</v>
      </c>
      <c r="AN194" s="6">
        <v>-1286</v>
      </c>
      <c r="AO194" s="6">
        <v>-6063</v>
      </c>
      <c r="AP194" s="6">
        <v>-5977</v>
      </c>
      <c r="AQ194" s="6">
        <v>-1252</v>
      </c>
    </row>
    <row r="195" spans="1:45" x14ac:dyDescent="0.2">
      <c r="A195" s="28" t="s">
        <v>223</v>
      </c>
      <c r="B195" s="7">
        <f>SUM(V195,W195,X195,Y195)</f>
        <v>497604</v>
      </c>
      <c r="C195" s="7">
        <f>SUM(Z195:AC195)</f>
        <v>463766</v>
      </c>
      <c r="D195" s="7">
        <f t="shared" si="125"/>
        <v>521328</v>
      </c>
      <c r="E195" s="7">
        <f t="shared" si="126"/>
        <v>143322</v>
      </c>
      <c r="F195" s="7">
        <f t="shared" si="127"/>
        <v>550837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7">
        <f>SUM(V185:V194)</f>
        <v>128096</v>
      </c>
      <c r="W195" s="7">
        <f>SUM(W185:W194)</f>
        <v>123016</v>
      </c>
      <c r="X195" s="7">
        <f t="shared" ref="X195:AS195" si="130">SUM(X185:X194)</f>
        <v>118609</v>
      </c>
      <c r="Y195" s="7">
        <f t="shared" si="130"/>
        <v>127883</v>
      </c>
      <c r="Z195" s="7">
        <f t="shared" si="130"/>
        <v>125935</v>
      </c>
      <c r="AA195" s="7">
        <f t="shared" si="130"/>
        <v>117068</v>
      </c>
      <c r="AB195" s="7">
        <f t="shared" si="130"/>
        <v>105262</v>
      </c>
      <c r="AC195" s="7">
        <f t="shared" si="130"/>
        <v>115501</v>
      </c>
      <c r="AD195" s="7">
        <f t="shared" si="130"/>
        <v>125041</v>
      </c>
      <c r="AE195" s="7">
        <f t="shared" si="130"/>
        <v>132595</v>
      </c>
      <c r="AF195" s="7">
        <f t="shared" si="130"/>
        <v>128197</v>
      </c>
      <c r="AG195" s="7">
        <f t="shared" si="130"/>
        <v>135495</v>
      </c>
      <c r="AH195" s="7">
        <f t="shared" si="130"/>
        <v>138054</v>
      </c>
      <c r="AI195" s="7">
        <f t="shared" si="130"/>
        <v>141376</v>
      </c>
      <c r="AJ195" s="7">
        <f t="shared" si="130"/>
        <v>130628</v>
      </c>
      <c r="AK195" s="7">
        <f t="shared" si="130"/>
        <v>143322</v>
      </c>
      <c r="AL195" s="7">
        <f t="shared" si="130"/>
        <v>136950</v>
      </c>
      <c r="AM195" s="7">
        <f t="shared" si="130"/>
        <v>141392</v>
      </c>
      <c r="AN195" s="7">
        <f t="shared" si="130"/>
        <v>130319</v>
      </c>
      <c r="AO195" s="7">
        <f t="shared" si="130"/>
        <v>142176</v>
      </c>
      <c r="AP195" s="7">
        <f t="shared" si="130"/>
        <v>154359</v>
      </c>
      <c r="AQ195" s="7">
        <f t="shared" si="130"/>
        <v>144156</v>
      </c>
      <c r="AR195" s="7">
        <f t="shared" si="130"/>
        <v>0</v>
      </c>
      <c r="AS195" s="7">
        <f t="shared" si="130"/>
        <v>0</v>
      </c>
    </row>
    <row r="196" spans="1:45" x14ac:dyDescent="0.2">
      <c r="A196" s="29" t="s">
        <v>224</v>
      </c>
      <c r="V196" s="8">
        <f>V195/V10</f>
        <v>0.24654043504871298</v>
      </c>
      <c r="W196" s="8">
        <f>W195/W10</f>
        <v>0.25135468684870826</v>
      </c>
    </row>
    <row r="198" spans="1:45" x14ac:dyDescent="0.2">
      <c r="A198" s="27" t="s">
        <v>225</v>
      </c>
    </row>
    <row r="199" spans="1:45" x14ac:dyDescent="0.2">
      <c r="A199" s="25" t="s">
        <v>226</v>
      </c>
      <c r="B199" s="4">
        <f t="shared" ref="B199:B208" si="131">SUM(V199,W199,X199,Y199)</f>
        <v>-79299</v>
      </c>
      <c r="C199" s="4">
        <f>SUM(Z199:AC199)</f>
        <v>-7439</v>
      </c>
      <c r="D199" s="4">
        <f t="shared" ref="D199:D209" si="132">SUM(AD199:AG199)</f>
        <v>128867</v>
      </c>
      <c r="E199" s="4">
        <f t="shared" ref="E199:E209" si="133">AK199</f>
        <v>62730</v>
      </c>
      <c r="F199" s="4">
        <f t="shared" ref="F199:F209" si="134">SUM(AL199:AO199)</f>
        <v>313068</v>
      </c>
      <c r="V199" s="4">
        <f t="shared" ref="V199:AS199" si="135">V38</f>
        <v>30940</v>
      </c>
      <c r="W199" s="4">
        <f t="shared" si="135"/>
        <v>-6932</v>
      </c>
      <c r="X199" s="4">
        <f t="shared" si="135"/>
        <v>4163</v>
      </c>
      <c r="Y199" s="4">
        <f t="shared" si="135"/>
        <v>-107470</v>
      </c>
      <c r="Z199" s="4">
        <f t="shared" si="135"/>
        <v>6819</v>
      </c>
      <c r="AA199" s="4">
        <f t="shared" si="135"/>
        <v>-33527</v>
      </c>
      <c r="AB199" s="4">
        <f t="shared" si="135"/>
        <v>6888</v>
      </c>
      <c r="AC199" s="4">
        <f t="shared" si="135"/>
        <v>12381</v>
      </c>
      <c r="AD199" s="4">
        <f t="shared" si="135"/>
        <v>-10393</v>
      </c>
      <c r="AE199" s="4">
        <f t="shared" si="135"/>
        <v>35100</v>
      </c>
      <c r="AF199" s="4">
        <f t="shared" si="135"/>
        <v>54890</v>
      </c>
      <c r="AG199" s="4">
        <f t="shared" si="135"/>
        <v>49270</v>
      </c>
      <c r="AH199" s="4">
        <f t="shared" si="135"/>
        <v>62800</v>
      </c>
      <c r="AI199" s="4">
        <f t="shared" si="135"/>
        <v>64647</v>
      </c>
      <c r="AJ199" s="4">
        <f t="shared" si="135"/>
        <v>73933</v>
      </c>
      <c r="AK199" s="4">
        <f t="shared" si="135"/>
        <v>62730</v>
      </c>
      <c r="AL199" s="4">
        <f t="shared" si="135"/>
        <v>76213</v>
      </c>
      <c r="AM199" s="4">
        <f t="shared" si="135"/>
        <v>76413</v>
      </c>
      <c r="AN199" s="4">
        <f t="shared" si="135"/>
        <v>81783</v>
      </c>
      <c r="AO199" s="4">
        <f t="shared" si="135"/>
        <v>78659</v>
      </c>
      <c r="AP199" s="4">
        <f t="shared" si="135"/>
        <v>67577</v>
      </c>
      <c r="AQ199" s="4">
        <f t="shared" si="135"/>
        <v>76066</v>
      </c>
      <c r="AR199" s="4">
        <f t="shared" si="135"/>
        <v>0</v>
      </c>
      <c r="AS199" s="4">
        <f t="shared" si="135"/>
        <v>0</v>
      </c>
    </row>
    <row r="200" spans="1:45" s="5" customFormat="1" x14ac:dyDescent="0.2">
      <c r="A200" s="25" t="s">
        <v>221</v>
      </c>
      <c r="B200" s="4">
        <f t="shared" si="131"/>
        <v>35801</v>
      </c>
      <c r="C200" s="4">
        <f t="shared" ref="C200:C208" si="136">SUM(Z200:AC200)</f>
        <v>25717</v>
      </c>
      <c r="D200" s="4">
        <f t="shared" si="132"/>
        <v>18918</v>
      </c>
      <c r="E200" s="4">
        <f t="shared" si="133"/>
        <v>4517</v>
      </c>
      <c r="F200" s="4">
        <f t="shared" si="134"/>
        <v>19112</v>
      </c>
      <c r="V200" s="6">
        <v>8973</v>
      </c>
      <c r="W200" s="6">
        <v>8997</v>
      </c>
      <c r="X200" s="6">
        <v>8944</v>
      </c>
      <c r="Y200" s="6">
        <v>8887</v>
      </c>
      <c r="Z200" s="6">
        <v>6553</v>
      </c>
      <c r="AA200" s="6">
        <v>6485</v>
      </c>
      <c r="AB200" s="6">
        <v>6413</v>
      </c>
      <c r="AC200" s="6">
        <v>6266</v>
      </c>
      <c r="AD200" s="6">
        <v>5048</v>
      </c>
      <c r="AE200" s="6">
        <v>4722</v>
      </c>
      <c r="AF200" s="6">
        <v>4663</v>
      </c>
      <c r="AG200" s="6">
        <v>4485</v>
      </c>
      <c r="AH200" s="6">
        <v>3986</v>
      </c>
      <c r="AI200" s="6">
        <v>4511</v>
      </c>
      <c r="AJ200" s="6">
        <v>4814</v>
      </c>
      <c r="AK200" s="6">
        <v>4517</v>
      </c>
      <c r="AL200" s="6">
        <v>4479</v>
      </c>
      <c r="AM200" s="6">
        <v>4543</v>
      </c>
      <c r="AN200" s="6">
        <v>4403</v>
      </c>
      <c r="AO200" s="6">
        <v>5687</v>
      </c>
      <c r="AP200" s="6">
        <v>10667</v>
      </c>
      <c r="AQ200" s="6">
        <v>11048</v>
      </c>
    </row>
    <row r="201" spans="1:45" s="5" customFormat="1" x14ac:dyDescent="0.2">
      <c r="A201" s="25" t="s">
        <v>147</v>
      </c>
      <c r="B201" s="4">
        <f t="shared" si="131"/>
        <v>54623</v>
      </c>
      <c r="C201" s="4">
        <f t="shared" si="136"/>
        <v>-13625</v>
      </c>
      <c r="D201" s="4">
        <f t="shared" si="132"/>
        <v>43989</v>
      </c>
      <c r="E201" s="4">
        <f t="shared" si="133"/>
        <v>3303</v>
      </c>
      <c r="F201" s="4">
        <f t="shared" si="134"/>
        <v>931</v>
      </c>
      <c r="V201" s="6">
        <v>-1980</v>
      </c>
      <c r="W201" s="5">
        <v>192</v>
      </c>
      <c r="X201" s="5">
        <v>958</v>
      </c>
      <c r="Y201" s="6">
        <v>55453</v>
      </c>
      <c r="Z201" s="6">
        <v>-6366</v>
      </c>
      <c r="AA201" s="6">
        <v>-3459</v>
      </c>
      <c r="AB201" s="6">
        <v>-1272</v>
      </c>
      <c r="AC201" s="6">
        <v>-2528</v>
      </c>
      <c r="AD201" s="6">
        <v>36609</v>
      </c>
      <c r="AE201" s="5">
        <v>874</v>
      </c>
      <c r="AF201" s="5">
        <v>-615</v>
      </c>
      <c r="AG201" s="6">
        <v>7121</v>
      </c>
      <c r="AH201" s="5">
        <v>198</v>
      </c>
      <c r="AI201" s="5">
        <v>-99</v>
      </c>
      <c r="AJ201" s="5">
        <v>-723</v>
      </c>
      <c r="AK201" s="6">
        <v>3303</v>
      </c>
      <c r="AL201" s="5">
        <v>-553</v>
      </c>
      <c r="AM201" s="6">
        <v>1237</v>
      </c>
      <c r="AN201" s="5">
        <v>188</v>
      </c>
      <c r="AO201" s="5">
        <v>59</v>
      </c>
      <c r="AP201" s="5">
        <v>214</v>
      </c>
      <c r="AQ201" s="5">
        <v>233</v>
      </c>
    </row>
    <row r="202" spans="1:45" s="5" customFormat="1" x14ac:dyDescent="0.2">
      <c r="A202" s="25" t="s">
        <v>135</v>
      </c>
      <c r="B202" s="4">
        <f t="shared" si="131"/>
        <v>64289</v>
      </c>
      <c r="C202" s="4">
        <f t="shared" si="136"/>
        <v>3505</v>
      </c>
      <c r="D202" s="4">
        <f t="shared" si="132"/>
        <v>667</v>
      </c>
      <c r="E202" s="4">
        <f t="shared" si="133"/>
        <v>-59</v>
      </c>
      <c r="F202" s="4">
        <f t="shared" si="134"/>
        <v>79</v>
      </c>
      <c r="V202" s="6">
        <v>1392</v>
      </c>
      <c r="W202" s="6">
        <v>24711</v>
      </c>
      <c r="X202" s="6">
        <v>2171</v>
      </c>
      <c r="Y202" s="6">
        <v>36015</v>
      </c>
      <c r="Z202" s="6">
        <v>2221</v>
      </c>
      <c r="AA202" s="5">
        <v>194</v>
      </c>
      <c r="AB202" s="5">
        <v>767</v>
      </c>
      <c r="AC202" s="5">
        <v>323</v>
      </c>
      <c r="AD202" s="5">
        <v>18</v>
      </c>
      <c r="AE202" s="5">
        <v>612</v>
      </c>
      <c r="AF202" s="5">
        <v>45</v>
      </c>
      <c r="AG202" s="5">
        <v>-8</v>
      </c>
      <c r="AH202" s="5">
        <v>23</v>
      </c>
      <c r="AI202" s="5">
        <v>-65</v>
      </c>
      <c r="AJ202" s="5">
        <v>698</v>
      </c>
      <c r="AK202" s="5">
        <v>-59</v>
      </c>
      <c r="AL202" s="5">
        <v>79</v>
      </c>
    </row>
    <row r="203" spans="1:45" s="5" customFormat="1" x14ac:dyDescent="0.2">
      <c r="A203" s="23" t="s">
        <v>252</v>
      </c>
      <c r="B203" s="4"/>
      <c r="C203" s="4"/>
      <c r="D203" s="4"/>
      <c r="E203" s="4"/>
      <c r="F203" s="4"/>
    </row>
    <row r="204" spans="1:45" s="5" customFormat="1" x14ac:dyDescent="0.2">
      <c r="A204" s="23" t="s">
        <v>250</v>
      </c>
      <c r="B204" s="4"/>
      <c r="C204" s="4">
        <f t="shared" si="136"/>
        <v>8719</v>
      </c>
      <c r="D204" s="4"/>
      <c r="E204" s="4"/>
      <c r="F204" s="4"/>
      <c r="AC204" s="6">
        <v>8719</v>
      </c>
    </row>
    <row r="205" spans="1:45" s="5" customFormat="1" x14ac:dyDescent="0.2">
      <c r="A205" s="23" t="s">
        <v>253</v>
      </c>
      <c r="B205" s="4"/>
      <c r="C205" s="4">
        <f t="shared" si="136"/>
        <v>675</v>
      </c>
      <c r="D205" s="4">
        <f t="shared" si="132"/>
        <v>-5</v>
      </c>
      <c r="E205" s="4"/>
      <c r="F205" s="4">
        <f t="shared" si="134"/>
        <v>1736</v>
      </c>
      <c r="AA205" s="5">
        <v>710</v>
      </c>
      <c r="AB205" s="5">
        <v>-35</v>
      </c>
      <c r="AF205" s="5">
        <v>-5</v>
      </c>
      <c r="AN205" s="6">
        <v>1566</v>
      </c>
      <c r="AO205" s="5">
        <v>170</v>
      </c>
      <c r="AP205" s="5">
        <v>20</v>
      </c>
      <c r="AQ205" s="5">
        <v>455</v>
      </c>
    </row>
    <row r="206" spans="1:45" s="5" customFormat="1" x14ac:dyDescent="0.2">
      <c r="A206" s="23" t="s">
        <v>249</v>
      </c>
      <c r="B206" s="4"/>
      <c r="C206" s="4">
        <f t="shared" si="136"/>
        <v>1885</v>
      </c>
      <c r="D206" s="4"/>
      <c r="E206" s="4"/>
      <c r="F206" s="4"/>
      <c r="AB206" s="6">
        <v>1885</v>
      </c>
    </row>
    <row r="207" spans="1:45" s="5" customFormat="1" x14ac:dyDescent="0.2">
      <c r="A207" s="23" t="s">
        <v>247</v>
      </c>
      <c r="B207" s="4"/>
      <c r="C207" s="4">
        <f t="shared" si="136"/>
        <v>38480</v>
      </c>
      <c r="D207" s="4"/>
      <c r="E207" s="4"/>
      <c r="F207" s="4"/>
      <c r="AA207" s="6">
        <v>38480</v>
      </c>
    </row>
    <row r="208" spans="1:45" s="5" customFormat="1" x14ac:dyDescent="0.2">
      <c r="A208" s="25" t="s">
        <v>222</v>
      </c>
      <c r="B208" s="4">
        <f t="shared" si="131"/>
        <v>151</v>
      </c>
      <c r="C208" s="4">
        <f t="shared" si="136"/>
        <v>506</v>
      </c>
      <c r="D208" s="4">
        <f t="shared" si="132"/>
        <v>144</v>
      </c>
      <c r="E208" s="4">
        <f t="shared" si="133"/>
        <v>67</v>
      </c>
      <c r="F208" s="4">
        <f t="shared" si="134"/>
        <v>7433</v>
      </c>
      <c r="V208" s="6">
        <v>-377</v>
      </c>
      <c r="W208" s="5">
        <v>-109</v>
      </c>
      <c r="X208" s="5">
        <v>118</v>
      </c>
      <c r="Y208" s="5">
        <v>519</v>
      </c>
      <c r="Z208" s="5">
        <v>62</v>
      </c>
      <c r="AA208" s="5">
        <v>154</v>
      </c>
      <c r="AB208" s="5">
        <v>154</v>
      </c>
      <c r="AC208" s="5">
        <v>136</v>
      </c>
      <c r="AD208" s="5">
        <v>45</v>
      </c>
      <c r="AE208" s="5">
        <v>44</v>
      </c>
      <c r="AF208" s="5">
        <v>28</v>
      </c>
      <c r="AG208" s="5">
        <v>27</v>
      </c>
      <c r="AH208" s="5">
        <v>318</v>
      </c>
      <c r="AI208" s="5">
        <v>90</v>
      </c>
      <c r="AJ208" s="5">
        <v>248</v>
      </c>
      <c r="AK208" s="5">
        <v>67</v>
      </c>
      <c r="AL208" s="5">
        <v>51</v>
      </c>
      <c r="AM208" s="5">
        <v>33</v>
      </c>
      <c r="AN208" s="6">
        <v>1286</v>
      </c>
      <c r="AO208" s="6">
        <v>6063</v>
      </c>
      <c r="AP208" s="6">
        <v>5977</v>
      </c>
      <c r="AQ208" s="6">
        <v>1252</v>
      </c>
    </row>
    <row r="209" spans="1:45" x14ac:dyDescent="0.2">
      <c r="A209" s="28" t="s">
        <v>227</v>
      </c>
      <c r="B209" s="7">
        <f>SUM(V209,W209,X209,Y209)</f>
        <v>75565</v>
      </c>
      <c r="C209" s="7">
        <f>SUM(Z209:AC209)</f>
        <v>58423</v>
      </c>
      <c r="D209" s="7">
        <f t="shared" si="132"/>
        <v>192580</v>
      </c>
      <c r="E209" s="7">
        <f t="shared" si="133"/>
        <v>70558</v>
      </c>
      <c r="F209" s="7">
        <f t="shared" si="134"/>
        <v>342359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7">
        <f>SUM(V199:V208)</f>
        <v>38948</v>
      </c>
      <c r="W209" s="7">
        <f>SUM(W199:W208)</f>
        <v>26859</v>
      </c>
      <c r="X209" s="7">
        <f t="shared" ref="X209:AS209" si="137">SUM(X199:X208)</f>
        <v>16354</v>
      </c>
      <c r="Y209" s="7">
        <f t="shared" si="137"/>
        <v>-6596</v>
      </c>
      <c r="Z209" s="7">
        <f t="shared" si="137"/>
        <v>9289</v>
      </c>
      <c r="AA209" s="7">
        <f t="shared" si="137"/>
        <v>9037</v>
      </c>
      <c r="AB209" s="7">
        <f t="shared" si="137"/>
        <v>14800</v>
      </c>
      <c r="AC209" s="7">
        <f t="shared" si="137"/>
        <v>25297</v>
      </c>
      <c r="AD209" s="7">
        <f t="shared" si="137"/>
        <v>31327</v>
      </c>
      <c r="AE209" s="7">
        <f t="shared" si="137"/>
        <v>41352</v>
      </c>
      <c r="AF209" s="7">
        <f t="shared" si="137"/>
        <v>59006</v>
      </c>
      <c r="AG209" s="7">
        <f t="shared" si="137"/>
        <v>60895</v>
      </c>
      <c r="AH209" s="7">
        <f t="shared" si="137"/>
        <v>67325</v>
      </c>
      <c r="AI209" s="7">
        <f t="shared" si="137"/>
        <v>69084</v>
      </c>
      <c r="AJ209" s="7">
        <f t="shared" si="137"/>
        <v>78970</v>
      </c>
      <c r="AK209" s="7">
        <f t="shared" si="137"/>
        <v>70558</v>
      </c>
      <c r="AL209" s="7">
        <f t="shared" si="137"/>
        <v>80269</v>
      </c>
      <c r="AM209" s="7">
        <f t="shared" si="137"/>
        <v>82226</v>
      </c>
      <c r="AN209" s="7">
        <f t="shared" si="137"/>
        <v>89226</v>
      </c>
      <c r="AO209" s="7">
        <f t="shared" si="137"/>
        <v>90638</v>
      </c>
      <c r="AP209" s="7">
        <f t="shared" si="137"/>
        <v>84455</v>
      </c>
      <c r="AQ209" s="7">
        <f t="shared" si="137"/>
        <v>89054</v>
      </c>
      <c r="AR209" s="7">
        <f t="shared" si="137"/>
        <v>0</v>
      </c>
      <c r="AS209" s="7">
        <f t="shared" si="137"/>
        <v>0</v>
      </c>
    </row>
    <row r="210" spans="1:45" x14ac:dyDescent="0.2">
      <c r="A210" s="29" t="s">
        <v>228</v>
      </c>
      <c r="V210" s="8">
        <f t="shared" ref="V210:AS210" si="138">V209/V10</f>
        <v>7.4961410694145594E-2</v>
      </c>
      <c r="W210" s="8">
        <f t="shared" si="138"/>
        <v>5.4880141884547172E-2</v>
      </c>
      <c r="X210" s="8">
        <f t="shared" si="138"/>
        <v>3.358462590538229E-2</v>
      </c>
      <c r="Y210" s="8">
        <f t="shared" si="138"/>
        <v>-1.3582161161525996E-2</v>
      </c>
      <c r="Z210" s="8">
        <f t="shared" si="138"/>
        <v>1.9542171665639312E-2</v>
      </c>
      <c r="AA210" s="8">
        <f t="shared" si="138"/>
        <v>2.0924697023724074E-2</v>
      </c>
      <c r="AB210" s="8">
        <f t="shared" si="138"/>
        <v>3.5166088485482111E-2</v>
      </c>
      <c r="AC210" s="8">
        <f t="shared" si="138"/>
        <v>5.4112271680096517E-2</v>
      </c>
      <c r="AD210" s="8">
        <f t="shared" si="138"/>
        <v>6.3335745969616955E-2</v>
      </c>
      <c r="AE210" s="8">
        <f t="shared" si="138"/>
        <v>7.6426340399578616E-2</v>
      </c>
      <c r="AF210" s="8">
        <f t="shared" si="138"/>
        <v>0.10522279999714679</v>
      </c>
      <c r="AG210" s="8">
        <f t="shared" si="138"/>
        <v>0.10550562829515588</v>
      </c>
      <c r="AH210" s="8">
        <f t="shared" si="138"/>
        <v>0.1115683031674958</v>
      </c>
      <c r="AI210" s="8">
        <f t="shared" si="138"/>
        <v>0.11342557247208444</v>
      </c>
      <c r="AJ210" s="8">
        <f t="shared" si="138"/>
        <v>0.12831011500303838</v>
      </c>
      <c r="AK210" s="8">
        <f t="shared" si="138"/>
        <v>0.11512831558061822</v>
      </c>
      <c r="AL210" s="8">
        <f t="shared" si="138"/>
        <v>0.13220599159023044</v>
      </c>
      <c r="AM210" s="8">
        <f t="shared" si="138"/>
        <v>0.13551629059876955</v>
      </c>
      <c r="AN210" s="8">
        <f t="shared" si="138"/>
        <v>0.15340812379110252</v>
      </c>
      <c r="AO210" s="8">
        <f t="shared" si="138"/>
        <v>0.15855311839092323</v>
      </c>
      <c r="AP210" s="8">
        <f t="shared" si="138"/>
        <v>0.14388005083631183</v>
      </c>
      <c r="AQ210" s="8">
        <f t="shared" si="138"/>
        <v>0.15820515826911255</v>
      </c>
      <c r="AR210" s="8" t="e">
        <f t="shared" si="138"/>
        <v>#DIV/0!</v>
      </c>
      <c r="AS210" s="8" t="e">
        <f t="shared" si="138"/>
        <v>#DIV/0!</v>
      </c>
    </row>
    <row r="212" spans="1:45" x14ac:dyDescent="0.2">
      <c r="A212" s="27" t="s">
        <v>229</v>
      </c>
    </row>
    <row r="213" spans="1:45" x14ac:dyDescent="0.2">
      <c r="A213" s="25" t="s">
        <v>230</v>
      </c>
      <c r="B213" s="4">
        <f t="shared" ref="B213:B226" si="139">SUM(V213,W213,X213,Y213)</f>
        <v>-81255</v>
      </c>
      <c r="C213" s="4">
        <f t="shared" ref="C213:C226" si="140">SUM(Z213:AC213)</f>
        <v>-9732</v>
      </c>
      <c r="D213" s="4">
        <f t="shared" ref="D213:D227" si="141">SUM(AD213:AG213)</f>
        <v>96923</v>
      </c>
      <c r="E213" s="4">
        <f t="shared" ref="E213:E227" si="142">AK213</f>
        <v>58107</v>
      </c>
      <c r="F213" s="4">
        <f t="shared" ref="F213:F227" si="143">SUM(AL213:AO213)</f>
        <v>301055</v>
      </c>
      <c r="V213" s="4">
        <f t="shared" ref="V213:AS213" si="144">V52</f>
        <v>12603</v>
      </c>
      <c r="W213" s="4">
        <f t="shared" si="144"/>
        <v>-33123</v>
      </c>
      <c r="X213" s="4">
        <f t="shared" si="144"/>
        <v>-1869</v>
      </c>
      <c r="Y213" s="4">
        <f t="shared" si="144"/>
        <v>-58866</v>
      </c>
      <c r="Z213" s="4">
        <f t="shared" si="144"/>
        <v>906</v>
      </c>
      <c r="AA213" s="4">
        <f t="shared" si="144"/>
        <v>-36967</v>
      </c>
      <c r="AB213" s="4">
        <f t="shared" si="144"/>
        <v>4117</v>
      </c>
      <c r="AC213" s="4">
        <f t="shared" si="144"/>
        <v>22212</v>
      </c>
      <c r="AD213" s="4">
        <f t="shared" si="144"/>
        <v>-11836</v>
      </c>
      <c r="AE213" s="4">
        <f t="shared" si="144"/>
        <v>24201</v>
      </c>
      <c r="AF213" s="4">
        <f t="shared" si="144"/>
        <v>40172</v>
      </c>
      <c r="AG213" s="4">
        <f t="shared" si="144"/>
        <v>44386</v>
      </c>
      <c r="AH213" s="4">
        <f t="shared" si="144"/>
        <v>51721</v>
      </c>
      <c r="AI213" s="4">
        <f t="shared" si="144"/>
        <v>51318</v>
      </c>
      <c r="AJ213" s="4">
        <f t="shared" si="144"/>
        <v>77959</v>
      </c>
      <c r="AK213" s="4">
        <f t="shared" si="144"/>
        <v>58107</v>
      </c>
      <c r="AL213" s="4">
        <f t="shared" si="144"/>
        <v>65474</v>
      </c>
      <c r="AM213" s="4">
        <f t="shared" si="144"/>
        <v>68340</v>
      </c>
      <c r="AN213" s="4">
        <f t="shared" si="144"/>
        <v>65613</v>
      </c>
      <c r="AO213" s="4">
        <f t="shared" si="144"/>
        <v>101628</v>
      </c>
      <c r="AP213" s="4">
        <f t="shared" si="144"/>
        <v>53459</v>
      </c>
      <c r="AQ213" s="4">
        <f t="shared" si="144"/>
        <v>53272</v>
      </c>
      <c r="AR213" s="4">
        <f t="shared" si="144"/>
        <v>0</v>
      </c>
      <c r="AS213" s="4">
        <f t="shared" si="144"/>
        <v>0</v>
      </c>
    </row>
    <row r="214" spans="1:45" s="5" customFormat="1" x14ac:dyDescent="0.2">
      <c r="A214" s="25" t="s">
        <v>221</v>
      </c>
      <c r="B214" s="4">
        <f t="shared" si="139"/>
        <v>35801</v>
      </c>
      <c r="C214" s="4">
        <f t="shared" si="140"/>
        <v>25717</v>
      </c>
      <c r="D214" s="4">
        <f t="shared" si="141"/>
        <v>18918</v>
      </c>
      <c r="E214" s="4">
        <f t="shared" si="142"/>
        <v>4517</v>
      </c>
      <c r="F214" s="4">
        <f t="shared" si="143"/>
        <v>19112</v>
      </c>
      <c r="V214" s="6">
        <v>8973</v>
      </c>
      <c r="W214" s="6">
        <v>8997</v>
      </c>
      <c r="X214" s="6">
        <v>8944</v>
      </c>
      <c r="Y214" s="6">
        <v>8887</v>
      </c>
      <c r="Z214" s="6">
        <v>6553</v>
      </c>
      <c r="AA214" s="6">
        <v>6485</v>
      </c>
      <c r="AB214" s="6">
        <v>6413</v>
      </c>
      <c r="AC214" s="6">
        <v>6266</v>
      </c>
      <c r="AD214" s="6">
        <v>5048</v>
      </c>
      <c r="AE214" s="6">
        <v>4722</v>
      </c>
      <c r="AF214" s="6">
        <v>4663</v>
      </c>
      <c r="AG214" s="6">
        <v>4485</v>
      </c>
      <c r="AH214" s="6">
        <v>3986</v>
      </c>
      <c r="AI214" s="6">
        <v>4511</v>
      </c>
      <c r="AJ214" s="6">
        <v>4814</v>
      </c>
      <c r="AK214" s="6">
        <v>4517</v>
      </c>
      <c r="AL214" s="6">
        <v>4479</v>
      </c>
      <c r="AM214" s="6">
        <v>4543</v>
      </c>
      <c r="AN214" s="6">
        <v>4403</v>
      </c>
      <c r="AO214" s="6">
        <v>5687</v>
      </c>
      <c r="AP214" s="6">
        <v>10667</v>
      </c>
      <c r="AQ214" s="6">
        <v>11048</v>
      </c>
    </row>
    <row r="215" spans="1:45" s="5" customFormat="1" x14ac:dyDescent="0.2">
      <c r="A215" s="25" t="s">
        <v>231</v>
      </c>
      <c r="B215" s="4">
        <f t="shared" si="139"/>
        <v>18078</v>
      </c>
      <c r="C215" s="4">
        <f t="shared" si="140"/>
        <v>3323</v>
      </c>
      <c r="D215" s="4">
        <f t="shared" si="141"/>
        <v>3489</v>
      </c>
      <c r="E215" s="4">
        <f t="shared" si="142"/>
        <v>1776</v>
      </c>
      <c r="F215" s="4">
        <f t="shared" si="143"/>
        <v>6928</v>
      </c>
      <c r="V215" s="6">
        <v>2652</v>
      </c>
      <c r="W215" s="6">
        <v>12695</v>
      </c>
      <c r="X215" s="6">
        <v>1905</v>
      </c>
      <c r="Y215" s="5">
        <v>826</v>
      </c>
      <c r="Z215" s="5">
        <v>796</v>
      </c>
      <c r="AA215" s="5">
        <v>836</v>
      </c>
      <c r="AB215" s="5">
        <v>846</v>
      </c>
      <c r="AC215" s="5">
        <v>845</v>
      </c>
      <c r="AD215" s="5">
        <v>845</v>
      </c>
      <c r="AE215" s="5">
        <v>887</v>
      </c>
      <c r="AF215" s="5">
        <v>897</v>
      </c>
      <c r="AG215" s="5">
        <v>860</v>
      </c>
      <c r="AH215" s="5">
        <v>844</v>
      </c>
      <c r="AI215" s="5">
        <v>935</v>
      </c>
      <c r="AJ215" s="6">
        <v>1759</v>
      </c>
      <c r="AK215" s="6">
        <v>1776</v>
      </c>
      <c r="AL215" s="6">
        <v>1737</v>
      </c>
      <c r="AM215" s="6">
        <v>1757</v>
      </c>
      <c r="AN215" s="6">
        <v>1777</v>
      </c>
      <c r="AO215" s="6">
        <v>1657</v>
      </c>
      <c r="AP215" s="6">
        <v>1830</v>
      </c>
      <c r="AQ215" s="6">
        <v>1925</v>
      </c>
    </row>
    <row r="216" spans="1:45" s="5" customFormat="1" x14ac:dyDescent="0.2">
      <c r="A216" s="23" t="s">
        <v>254</v>
      </c>
      <c r="B216" s="4">
        <f t="shared" si="139"/>
        <v>11681</v>
      </c>
      <c r="C216" s="4"/>
      <c r="D216" s="4"/>
      <c r="E216" s="4"/>
      <c r="F216" s="4"/>
      <c r="V216" s="6">
        <v>1681</v>
      </c>
      <c r="W216" s="6">
        <v>10000</v>
      </c>
    </row>
    <row r="217" spans="1:45" s="5" customFormat="1" x14ac:dyDescent="0.2">
      <c r="A217" s="25" t="s">
        <v>147</v>
      </c>
      <c r="B217" s="4">
        <f t="shared" si="139"/>
        <v>54623</v>
      </c>
      <c r="C217" s="4">
        <f t="shared" si="140"/>
        <v>-13625</v>
      </c>
      <c r="D217" s="4">
        <f t="shared" si="141"/>
        <v>43989</v>
      </c>
      <c r="E217" s="4">
        <f t="shared" si="142"/>
        <v>3303</v>
      </c>
      <c r="F217" s="4">
        <f t="shared" si="143"/>
        <v>931</v>
      </c>
      <c r="V217" s="6">
        <v>-1980</v>
      </c>
      <c r="W217" s="5">
        <v>192</v>
      </c>
      <c r="X217" s="5">
        <v>958</v>
      </c>
      <c r="Y217" s="6">
        <v>55453</v>
      </c>
      <c r="Z217" s="6">
        <v>-6366</v>
      </c>
      <c r="AA217" s="6">
        <v>-3459</v>
      </c>
      <c r="AB217" s="6">
        <v>-1272</v>
      </c>
      <c r="AC217" s="6">
        <v>-2528</v>
      </c>
      <c r="AD217" s="6">
        <v>36609</v>
      </c>
      <c r="AE217" s="5">
        <v>874</v>
      </c>
      <c r="AF217" s="5">
        <v>-615</v>
      </c>
      <c r="AG217" s="6">
        <v>7121</v>
      </c>
      <c r="AH217" s="5">
        <v>198</v>
      </c>
      <c r="AI217" s="5">
        <v>-99</v>
      </c>
      <c r="AJ217" s="5">
        <v>-723</v>
      </c>
      <c r="AK217" s="6">
        <v>3303</v>
      </c>
      <c r="AL217" s="5">
        <v>-553</v>
      </c>
      <c r="AM217" s="6">
        <v>1237</v>
      </c>
      <c r="AN217" s="5">
        <v>188</v>
      </c>
      <c r="AO217" s="5">
        <v>59</v>
      </c>
      <c r="AP217" s="5">
        <v>214</v>
      </c>
      <c r="AQ217" s="5">
        <v>233</v>
      </c>
    </row>
    <row r="218" spans="1:45" s="5" customFormat="1" x14ac:dyDescent="0.2">
      <c r="A218" s="25" t="s">
        <v>135</v>
      </c>
      <c r="B218" s="4">
        <f t="shared" si="139"/>
        <v>64289</v>
      </c>
      <c r="C218" s="4">
        <f t="shared" si="140"/>
        <v>3505</v>
      </c>
      <c r="D218" s="4">
        <f t="shared" si="141"/>
        <v>667</v>
      </c>
      <c r="E218" s="4">
        <f t="shared" si="142"/>
        <v>-59</v>
      </c>
      <c r="F218" s="4">
        <f t="shared" si="143"/>
        <v>79</v>
      </c>
      <c r="V218" s="6">
        <v>1392</v>
      </c>
      <c r="W218" s="6">
        <v>24711</v>
      </c>
      <c r="X218" s="6">
        <v>2171</v>
      </c>
      <c r="Y218" s="6">
        <v>36015</v>
      </c>
      <c r="Z218" s="6">
        <v>2221</v>
      </c>
      <c r="AA218" s="5">
        <v>194</v>
      </c>
      <c r="AB218" s="5">
        <v>767</v>
      </c>
      <c r="AC218" s="5">
        <v>323</v>
      </c>
      <c r="AD218" s="5">
        <v>18</v>
      </c>
      <c r="AE218" s="5">
        <v>612</v>
      </c>
      <c r="AF218" s="5">
        <v>45</v>
      </c>
      <c r="AG218" s="5">
        <v>-8</v>
      </c>
      <c r="AH218" s="5">
        <v>23</v>
      </c>
      <c r="AI218" s="5">
        <v>-65</v>
      </c>
      <c r="AJ218" s="5">
        <v>698</v>
      </c>
      <c r="AK218" s="5">
        <v>-59</v>
      </c>
      <c r="AL218" s="5">
        <v>79</v>
      </c>
    </row>
    <row r="219" spans="1:45" s="5" customFormat="1" x14ac:dyDescent="0.2">
      <c r="A219" s="23" t="s">
        <v>252</v>
      </c>
      <c r="B219" s="4"/>
      <c r="C219" s="4"/>
      <c r="D219" s="4"/>
      <c r="E219" s="4"/>
      <c r="F219" s="4"/>
    </row>
    <row r="220" spans="1:45" s="5" customFormat="1" x14ac:dyDescent="0.2">
      <c r="A220" s="23" t="s">
        <v>250</v>
      </c>
      <c r="B220" s="4"/>
      <c r="C220" s="4">
        <f t="shared" si="140"/>
        <v>8719</v>
      </c>
      <c r="D220" s="4"/>
      <c r="E220" s="4"/>
      <c r="F220" s="4"/>
      <c r="AC220" s="6">
        <v>8719</v>
      </c>
    </row>
    <row r="221" spans="1:45" s="5" customFormat="1" x14ac:dyDescent="0.2">
      <c r="A221" s="23" t="s">
        <v>253</v>
      </c>
      <c r="B221" s="4"/>
      <c r="C221" s="4">
        <f t="shared" si="140"/>
        <v>675</v>
      </c>
      <c r="D221" s="4">
        <f t="shared" si="141"/>
        <v>-5</v>
      </c>
      <c r="E221" s="4"/>
      <c r="F221" s="4">
        <f t="shared" si="143"/>
        <v>1736</v>
      </c>
      <c r="AA221" s="5">
        <v>710</v>
      </c>
      <c r="AB221" s="5">
        <v>-35</v>
      </c>
      <c r="AF221" s="5">
        <v>-5</v>
      </c>
      <c r="AN221" s="6">
        <v>1566</v>
      </c>
      <c r="AO221" s="5">
        <v>170</v>
      </c>
      <c r="AP221" s="5">
        <v>20</v>
      </c>
      <c r="AQ221" s="5">
        <v>455</v>
      </c>
    </row>
    <row r="222" spans="1:45" s="5" customFormat="1" x14ac:dyDescent="0.2">
      <c r="A222" s="23" t="s">
        <v>249</v>
      </c>
      <c r="B222" s="4"/>
      <c r="C222" s="4">
        <f t="shared" si="140"/>
        <v>1885</v>
      </c>
      <c r="D222" s="4"/>
      <c r="E222" s="4"/>
      <c r="F222" s="4"/>
      <c r="AB222" s="6">
        <v>1885</v>
      </c>
    </row>
    <row r="223" spans="1:45" s="5" customFormat="1" x14ac:dyDescent="0.2">
      <c r="A223" s="23" t="s">
        <v>255</v>
      </c>
      <c r="B223" s="4"/>
      <c r="C223" s="4"/>
      <c r="D223" s="4"/>
      <c r="E223" s="4"/>
      <c r="F223" s="4"/>
      <c r="AQ223" s="6">
        <v>-3249</v>
      </c>
    </row>
    <row r="224" spans="1:45" s="5" customFormat="1" x14ac:dyDescent="0.2">
      <c r="A224" s="23" t="s">
        <v>247</v>
      </c>
      <c r="B224" s="4"/>
      <c r="C224" s="4">
        <f t="shared" si="140"/>
        <v>38480</v>
      </c>
      <c r="D224" s="4"/>
      <c r="E224" s="4"/>
      <c r="F224" s="4"/>
      <c r="AA224" s="6">
        <v>38480</v>
      </c>
    </row>
    <row r="225" spans="1:45" s="5" customFormat="1" x14ac:dyDescent="0.2">
      <c r="A225" s="25" t="s">
        <v>222</v>
      </c>
      <c r="B225" s="4">
        <f t="shared" si="139"/>
        <v>151</v>
      </c>
      <c r="C225" s="4">
        <f t="shared" si="140"/>
        <v>506</v>
      </c>
      <c r="D225" s="4">
        <f t="shared" si="141"/>
        <v>144</v>
      </c>
      <c r="E225" s="4">
        <f t="shared" si="142"/>
        <v>67</v>
      </c>
      <c r="F225" s="4">
        <f t="shared" si="143"/>
        <v>7433</v>
      </c>
      <c r="V225" s="5">
        <v>-377</v>
      </c>
      <c r="W225" s="5">
        <v>-109</v>
      </c>
      <c r="X225" s="5">
        <v>118</v>
      </c>
      <c r="Y225" s="5">
        <v>519</v>
      </c>
      <c r="Z225" s="5">
        <v>62</v>
      </c>
      <c r="AA225" s="5">
        <v>154</v>
      </c>
      <c r="AB225" s="5">
        <v>154</v>
      </c>
      <c r="AC225" s="5">
        <v>136</v>
      </c>
      <c r="AD225" s="5">
        <v>45</v>
      </c>
      <c r="AE225" s="5">
        <v>44</v>
      </c>
      <c r="AF225" s="5">
        <v>28</v>
      </c>
      <c r="AG225" s="5">
        <v>27</v>
      </c>
      <c r="AH225" s="5">
        <v>318</v>
      </c>
      <c r="AI225" s="5">
        <v>90</v>
      </c>
      <c r="AJ225" s="5">
        <v>248</v>
      </c>
      <c r="AK225" s="5">
        <v>67</v>
      </c>
      <c r="AL225" s="5">
        <v>51</v>
      </c>
      <c r="AM225" s="5">
        <v>33</v>
      </c>
      <c r="AN225" s="6">
        <v>1286</v>
      </c>
      <c r="AO225" s="6">
        <v>6063</v>
      </c>
      <c r="AP225" s="6">
        <v>5977</v>
      </c>
      <c r="AQ225" s="6">
        <v>1252</v>
      </c>
    </row>
    <row r="226" spans="1:45" s="5" customFormat="1" x14ac:dyDescent="0.2">
      <c r="A226" s="25" t="s">
        <v>232</v>
      </c>
      <c r="B226" s="4">
        <f t="shared" si="139"/>
        <v>-25265</v>
      </c>
      <c r="C226" s="4">
        <f t="shared" si="140"/>
        <v>-8466</v>
      </c>
      <c r="D226" s="4">
        <f t="shared" si="141"/>
        <v>-10339</v>
      </c>
      <c r="E226" s="4">
        <f t="shared" si="142"/>
        <v>-5555</v>
      </c>
      <c r="F226" s="4">
        <f t="shared" si="143"/>
        <v>-6883</v>
      </c>
      <c r="V226" s="6">
        <v>-2997</v>
      </c>
      <c r="W226" s="6">
        <v>-10719</v>
      </c>
      <c r="X226" s="6">
        <v>-2775</v>
      </c>
      <c r="Y226" s="6">
        <v>-8774</v>
      </c>
      <c r="Z226" s="5">
        <v>999</v>
      </c>
      <c r="AA226" s="6">
        <v>-3300</v>
      </c>
      <c r="AB226" s="6">
        <v>-2362</v>
      </c>
      <c r="AC226" s="6">
        <v>-3803</v>
      </c>
      <c r="AD226" s="6">
        <v>-8347</v>
      </c>
      <c r="AE226" s="6">
        <v>-1516</v>
      </c>
      <c r="AF226" s="5">
        <v>-293</v>
      </c>
      <c r="AG226" s="5">
        <v>-183</v>
      </c>
      <c r="AH226" s="5">
        <v>201</v>
      </c>
      <c r="AI226" s="5">
        <v>-588</v>
      </c>
      <c r="AJ226" s="5">
        <v>-504</v>
      </c>
      <c r="AK226" s="6">
        <v>-5555</v>
      </c>
      <c r="AL226" s="6">
        <v>-1157</v>
      </c>
      <c r="AM226" s="5">
        <v>-796</v>
      </c>
      <c r="AN226" s="6">
        <v>-3021</v>
      </c>
      <c r="AO226" s="6">
        <v>-1909</v>
      </c>
      <c r="AP226" s="6">
        <v>-4475</v>
      </c>
      <c r="AQ226" s="6">
        <v>5791</v>
      </c>
    </row>
    <row r="227" spans="1:45" x14ac:dyDescent="0.2">
      <c r="A227" s="28" t="s">
        <v>233</v>
      </c>
      <c r="B227" s="7">
        <f>SUM(V227,W227,X227,Y227)</f>
        <v>78103</v>
      </c>
      <c r="C227" s="7">
        <f>SUM(Z227:AC227)</f>
        <v>50987</v>
      </c>
      <c r="D227" s="7">
        <f t="shared" si="141"/>
        <v>153786</v>
      </c>
      <c r="E227" s="7">
        <f t="shared" si="142"/>
        <v>62156</v>
      </c>
      <c r="F227" s="7">
        <f t="shared" si="143"/>
        <v>330391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7">
        <f t="shared" ref="V227:AS227" si="145">SUM(V213:V226)</f>
        <v>21947</v>
      </c>
      <c r="W227" s="7">
        <f t="shared" si="145"/>
        <v>12644</v>
      </c>
      <c r="X227" s="7">
        <f t="shared" si="145"/>
        <v>9452</v>
      </c>
      <c r="Y227" s="7">
        <f t="shared" si="145"/>
        <v>34060</v>
      </c>
      <c r="Z227" s="7">
        <f t="shared" si="145"/>
        <v>5171</v>
      </c>
      <c r="AA227" s="7">
        <f t="shared" si="145"/>
        <v>3133</v>
      </c>
      <c r="AB227" s="7">
        <f t="shared" si="145"/>
        <v>10513</v>
      </c>
      <c r="AC227" s="7">
        <f t="shared" si="145"/>
        <v>32170</v>
      </c>
      <c r="AD227" s="7">
        <f t="shared" si="145"/>
        <v>22382</v>
      </c>
      <c r="AE227" s="7">
        <f t="shared" si="145"/>
        <v>29824</v>
      </c>
      <c r="AF227" s="7">
        <f t="shared" si="145"/>
        <v>44892</v>
      </c>
      <c r="AG227" s="7">
        <f t="shared" si="145"/>
        <v>56688</v>
      </c>
      <c r="AH227" s="7">
        <f t="shared" si="145"/>
        <v>57291</v>
      </c>
      <c r="AI227" s="7">
        <f t="shared" si="145"/>
        <v>56102</v>
      </c>
      <c r="AJ227" s="7">
        <f t="shared" si="145"/>
        <v>84251</v>
      </c>
      <c r="AK227" s="7">
        <f t="shared" si="145"/>
        <v>62156</v>
      </c>
      <c r="AL227" s="7">
        <f t="shared" si="145"/>
        <v>70110</v>
      </c>
      <c r="AM227" s="7">
        <f t="shared" si="145"/>
        <v>75114</v>
      </c>
      <c r="AN227" s="7">
        <f t="shared" si="145"/>
        <v>71812</v>
      </c>
      <c r="AO227" s="7">
        <f t="shared" si="145"/>
        <v>113355</v>
      </c>
      <c r="AP227" s="7">
        <f t="shared" si="145"/>
        <v>67692</v>
      </c>
      <c r="AQ227" s="7">
        <f t="shared" si="145"/>
        <v>70727</v>
      </c>
      <c r="AR227" s="7">
        <f t="shared" si="145"/>
        <v>0</v>
      </c>
      <c r="AS227" s="7">
        <f t="shared" si="145"/>
        <v>0</v>
      </c>
    </row>
    <row r="228" spans="1:45" x14ac:dyDescent="0.2">
      <c r="A228" s="29" t="s">
        <v>234</v>
      </c>
      <c r="V228" s="8">
        <f t="shared" ref="V228:AS228" si="146">V227/V10</f>
        <v>4.2240373844726641E-2</v>
      </c>
      <c r="W228" s="8">
        <f t="shared" si="146"/>
        <v>2.583508373313282E-2</v>
      </c>
      <c r="X228" s="8">
        <f t="shared" si="146"/>
        <v>1.9410656968183525E-2</v>
      </c>
      <c r="Y228" s="8">
        <f t="shared" si="146"/>
        <v>7.0134689078468079E-2</v>
      </c>
      <c r="Z228" s="8">
        <f t="shared" si="146"/>
        <v>1.0878735028853578E-2</v>
      </c>
      <c r="AA228" s="8">
        <f t="shared" si="146"/>
        <v>7.2542963124186703E-3</v>
      </c>
      <c r="AB228" s="8">
        <f t="shared" si="146"/>
        <v>2.4979803259991447E-2</v>
      </c>
      <c r="AC228" s="8">
        <f t="shared" si="146"/>
        <v>6.8814158989157007E-2</v>
      </c>
      <c r="AD228" s="8">
        <f t="shared" si="146"/>
        <v>4.5251082653684258E-2</v>
      </c>
      <c r="AE228" s="8">
        <f t="shared" si="146"/>
        <v>5.5120409558837118E-2</v>
      </c>
      <c r="AF228" s="8">
        <f t="shared" si="146"/>
        <v>8.0053925659626365E-2</v>
      </c>
      <c r="AG228" s="8">
        <f t="shared" si="146"/>
        <v>9.8216652546117028E-2</v>
      </c>
      <c r="AH228" s="8">
        <f t="shared" si="146"/>
        <v>9.4940358808303038E-2</v>
      </c>
      <c r="AI228" s="8">
        <f t="shared" si="146"/>
        <v>9.2111074443125496E-2</v>
      </c>
      <c r="AJ228" s="8">
        <f t="shared" si="146"/>
        <v>0.13689066099937933</v>
      </c>
      <c r="AK228" s="8">
        <f t="shared" si="146"/>
        <v>0.1014189118629908</v>
      </c>
      <c r="AL228" s="8">
        <f t="shared" si="146"/>
        <v>0.11547374541094391</v>
      </c>
      <c r="AM228" s="8">
        <f t="shared" si="146"/>
        <v>0.12379503626633881</v>
      </c>
      <c r="AN228" s="8">
        <f t="shared" si="146"/>
        <v>0.12346787019127445</v>
      </c>
      <c r="AO228" s="8">
        <f t="shared" si="146"/>
        <v>0.19829198277988375</v>
      </c>
      <c r="AP228" s="8">
        <f t="shared" si="146"/>
        <v>0.11532210527750425</v>
      </c>
      <c r="AQ228" s="8">
        <f t="shared" si="146"/>
        <v>0.12564709309968697</v>
      </c>
      <c r="AR228" s="8" t="e">
        <f t="shared" si="146"/>
        <v>#DIV/0!</v>
      </c>
      <c r="AS228" s="8" t="e">
        <f t="shared" si="146"/>
        <v>#DIV/0!</v>
      </c>
    </row>
    <row r="230" spans="1:45" x14ac:dyDescent="0.2">
      <c r="A230" s="25" t="s">
        <v>235</v>
      </c>
      <c r="V230" s="9">
        <f>V227/V231</f>
        <v>0.52299590124868933</v>
      </c>
      <c r="W230" s="9">
        <f>W227/W231</f>
        <v>0.27802453933770177</v>
      </c>
      <c r="X230" s="9">
        <f t="shared" ref="X230:AS230" si="147">X227/X231</f>
        <v>0.20770887355513559</v>
      </c>
      <c r="Y230" s="9">
        <f t="shared" si="147"/>
        <v>0.74908179199014713</v>
      </c>
      <c r="Z230" s="9">
        <f t="shared" si="147"/>
        <v>0.11430150309460654</v>
      </c>
      <c r="AA230" s="9">
        <f t="shared" si="147"/>
        <v>6.9271247899531263E-2</v>
      </c>
      <c r="AB230" s="9">
        <f t="shared" si="147"/>
        <v>0.23192146481358925</v>
      </c>
      <c r="AC230" s="9">
        <f t="shared" si="147"/>
        <v>0.70829388581871022</v>
      </c>
      <c r="AD230" s="9">
        <f t="shared" si="147"/>
        <v>0.49113490739928028</v>
      </c>
      <c r="AE230" s="9">
        <f t="shared" si="147"/>
        <v>0.65144929119066863</v>
      </c>
      <c r="AF230" s="9">
        <f t="shared" si="147"/>
        <v>0.9769749727965179</v>
      </c>
      <c r="AG230" s="9">
        <f t="shared" si="147"/>
        <v>1.2313038945242076</v>
      </c>
      <c r="AH230" s="9">
        <f t="shared" si="147"/>
        <v>1.2358651336367754</v>
      </c>
      <c r="AI230" s="9">
        <f t="shared" si="147"/>
        <v>1.2058204014959377</v>
      </c>
      <c r="AJ230" s="9">
        <f t="shared" si="147"/>
        <v>1.8379763956456292</v>
      </c>
      <c r="AK230" s="9">
        <f t="shared" si="147"/>
        <v>1.3501607437657486</v>
      </c>
      <c r="AL230" s="9">
        <f t="shared" si="147"/>
        <v>1.5184527419215108</v>
      </c>
      <c r="AM230" s="9">
        <f t="shared" si="147"/>
        <v>1.6195342820181113</v>
      </c>
      <c r="AN230" s="9">
        <f t="shared" si="147"/>
        <v>1.5401707201990307</v>
      </c>
      <c r="AO230" s="9">
        <f t="shared" si="147"/>
        <v>2.4599609375</v>
      </c>
      <c r="AP230" s="9">
        <f t="shared" si="147"/>
        <v>1.4887178359357818</v>
      </c>
      <c r="AQ230" s="9">
        <f t="shared" si="147"/>
        <v>1.5855227761836441</v>
      </c>
      <c r="AR230" s="9" t="e">
        <f t="shared" si="147"/>
        <v>#DIV/0!</v>
      </c>
      <c r="AS230" s="9" t="e">
        <f t="shared" si="147"/>
        <v>#DIV/0!</v>
      </c>
    </row>
    <row r="231" spans="1:45" s="5" customFormat="1" x14ac:dyDescent="0.2">
      <c r="A231" s="25" t="s">
        <v>236</v>
      </c>
      <c r="D231" s="6"/>
      <c r="V231" s="6">
        <v>41964</v>
      </c>
      <c r="W231" s="6">
        <v>45478</v>
      </c>
      <c r="X231" s="6">
        <v>45506</v>
      </c>
      <c r="Y231" s="6">
        <v>45469</v>
      </c>
      <c r="Z231" s="6">
        <v>45240</v>
      </c>
      <c r="AA231" s="6">
        <v>45228</v>
      </c>
      <c r="AB231" s="6">
        <v>45330</v>
      </c>
      <c r="AC231" s="6">
        <v>45419</v>
      </c>
      <c r="AD231" s="6">
        <v>45572</v>
      </c>
      <c r="AE231" s="6">
        <v>45781</v>
      </c>
      <c r="AF231" s="6">
        <v>45950</v>
      </c>
      <c r="AG231" s="6">
        <v>46039</v>
      </c>
      <c r="AH231" s="6">
        <v>46357</v>
      </c>
      <c r="AI231" s="6">
        <v>46526</v>
      </c>
      <c r="AJ231" s="6">
        <v>45839</v>
      </c>
      <c r="AK231" s="6">
        <v>46036</v>
      </c>
      <c r="AL231" s="6">
        <v>46172</v>
      </c>
      <c r="AM231" s="6">
        <v>46380</v>
      </c>
      <c r="AN231" s="6">
        <v>46626</v>
      </c>
      <c r="AO231" s="6">
        <v>46080</v>
      </c>
      <c r="AP231" s="6">
        <v>45470</v>
      </c>
      <c r="AQ231" s="6">
        <v>44608</v>
      </c>
    </row>
    <row r="233" spans="1:45" x14ac:dyDescent="0.2">
      <c r="A233" s="27" t="s">
        <v>237</v>
      </c>
    </row>
    <row r="234" spans="1:45" x14ac:dyDescent="0.2">
      <c r="A234" s="25" t="s">
        <v>230</v>
      </c>
      <c r="B234" s="4">
        <f t="shared" ref="B234:B247" si="148">SUM(V234,W234,X234,Y234)</f>
        <v>-81255</v>
      </c>
      <c r="C234" s="4">
        <f t="shared" ref="C234:C246" si="149">SUM(Z234:AC234)</f>
        <v>-9732</v>
      </c>
      <c r="D234" s="4">
        <f>SUM(AD234:AG234)</f>
        <v>96923</v>
      </c>
      <c r="E234" s="4">
        <f t="shared" ref="E234:E249" si="150">AK234</f>
        <v>58107</v>
      </c>
      <c r="F234" s="4">
        <f t="shared" ref="F234:F249" si="151">SUM(AL234:AO234)</f>
        <v>301055</v>
      </c>
      <c r="V234" s="4">
        <f t="shared" ref="V234:AS234" si="152">V52</f>
        <v>12603</v>
      </c>
      <c r="W234" s="4">
        <f t="shared" si="152"/>
        <v>-33123</v>
      </c>
      <c r="X234" s="4">
        <f t="shared" si="152"/>
        <v>-1869</v>
      </c>
      <c r="Y234" s="4">
        <f t="shared" si="152"/>
        <v>-58866</v>
      </c>
      <c r="Z234" s="4">
        <f t="shared" si="152"/>
        <v>906</v>
      </c>
      <c r="AA234" s="4">
        <f t="shared" si="152"/>
        <v>-36967</v>
      </c>
      <c r="AB234" s="4">
        <f t="shared" si="152"/>
        <v>4117</v>
      </c>
      <c r="AC234" s="4">
        <f t="shared" si="152"/>
        <v>22212</v>
      </c>
      <c r="AD234" s="4">
        <f t="shared" si="152"/>
        <v>-11836</v>
      </c>
      <c r="AE234" s="4">
        <f t="shared" si="152"/>
        <v>24201</v>
      </c>
      <c r="AF234" s="4">
        <f t="shared" si="152"/>
        <v>40172</v>
      </c>
      <c r="AG234" s="4">
        <f t="shared" si="152"/>
        <v>44386</v>
      </c>
      <c r="AH234" s="4">
        <f t="shared" si="152"/>
        <v>51721</v>
      </c>
      <c r="AI234" s="4">
        <f t="shared" si="152"/>
        <v>51318</v>
      </c>
      <c r="AJ234" s="4">
        <f t="shared" si="152"/>
        <v>77959</v>
      </c>
      <c r="AK234" s="4">
        <f t="shared" si="152"/>
        <v>58107</v>
      </c>
      <c r="AL234" s="4">
        <f t="shared" si="152"/>
        <v>65474</v>
      </c>
      <c r="AM234" s="4">
        <f t="shared" si="152"/>
        <v>68340</v>
      </c>
      <c r="AN234" s="4">
        <f t="shared" si="152"/>
        <v>65613</v>
      </c>
      <c r="AO234" s="4">
        <f t="shared" si="152"/>
        <v>101628</v>
      </c>
      <c r="AP234" s="4">
        <f t="shared" si="152"/>
        <v>53459</v>
      </c>
      <c r="AQ234" s="4">
        <f t="shared" si="152"/>
        <v>53272</v>
      </c>
      <c r="AR234" s="4">
        <f t="shared" si="152"/>
        <v>0</v>
      </c>
      <c r="AS234" s="4">
        <f t="shared" si="152"/>
        <v>0</v>
      </c>
    </row>
    <row r="235" spans="1:45" s="5" customFormat="1" x14ac:dyDescent="0.2">
      <c r="A235" s="25" t="s">
        <v>238</v>
      </c>
      <c r="B235" s="4">
        <f t="shared" si="148"/>
        <v>-1557</v>
      </c>
      <c r="C235" s="4">
        <f t="shared" si="149"/>
        <v>-2633</v>
      </c>
      <c r="D235" s="4">
        <f t="shared" ref="D235:D249" si="153">SUM(AD235:AG235)</f>
        <v>-9314</v>
      </c>
      <c r="E235" s="4">
        <f t="shared" si="150"/>
        <v>-12183</v>
      </c>
      <c r="F235" s="4">
        <f t="shared" si="151"/>
        <v>-48376</v>
      </c>
      <c r="V235" s="5">
        <v>-542</v>
      </c>
      <c r="W235" s="5">
        <v>-432</v>
      </c>
      <c r="X235" s="5">
        <v>-352</v>
      </c>
      <c r="Y235" s="5">
        <v>-231</v>
      </c>
      <c r="Z235" s="5">
        <v>-217</v>
      </c>
      <c r="AA235" s="5">
        <v>-349</v>
      </c>
      <c r="AB235" s="5">
        <v>-801</v>
      </c>
      <c r="AC235" s="6">
        <v>-1266</v>
      </c>
      <c r="AD235" s="6">
        <v>-1818</v>
      </c>
      <c r="AE235" s="6">
        <v>-1508</v>
      </c>
      <c r="AF235" s="6">
        <v>-2642</v>
      </c>
      <c r="AG235" s="6">
        <v>-3346</v>
      </c>
      <c r="AH235" s="6">
        <v>-3846</v>
      </c>
      <c r="AI235" s="6">
        <v>-5128</v>
      </c>
      <c r="AJ235" s="6">
        <v>-13420</v>
      </c>
      <c r="AK235" s="6">
        <v>-12183</v>
      </c>
      <c r="AL235" s="6">
        <v>-11710</v>
      </c>
      <c r="AM235" s="6">
        <v>-12303</v>
      </c>
      <c r="AN235" s="6">
        <v>-13569</v>
      </c>
      <c r="AO235" s="6">
        <v>-10794</v>
      </c>
      <c r="AP235" s="6">
        <v>-5660</v>
      </c>
      <c r="AQ235" s="6">
        <v>-6253</v>
      </c>
    </row>
    <row r="236" spans="1:45" s="5" customFormat="1" x14ac:dyDescent="0.2">
      <c r="A236" s="25" t="s">
        <v>239</v>
      </c>
      <c r="B236" s="4">
        <f t="shared" si="148"/>
        <v>28638</v>
      </c>
      <c r="C236" s="4">
        <f t="shared" si="149"/>
        <v>6724</v>
      </c>
      <c r="D236" s="4">
        <f t="shared" si="153"/>
        <v>8349</v>
      </c>
      <c r="E236" s="4">
        <f t="shared" si="150"/>
        <v>5591</v>
      </c>
      <c r="F236" s="4">
        <f t="shared" si="151"/>
        <v>22451</v>
      </c>
      <c r="V236" s="6">
        <v>10475</v>
      </c>
      <c r="W236" s="6">
        <v>14004</v>
      </c>
      <c r="X236" s="6">
        <v>2628</v>
      </c>
      <c r="Y236" s="6">
        <v>1531</v>
      </c>
      <c r="Z236" s="6">
        <v>1592</v>
      </c>
      <c r="AA236" s="6">
        <v>1660</v>
      </c>
      <c r="AB236" s="6">
        <v>1679</v>
      </c>
      <c r="AC236" s="6">
        <v>1793</v>
      </c>
      <c r="AD236" s="6">
        <v>2057</v>
      </c>
      <c r="AE236" s="6">
        <v>1977</v>
      </c>
      <c r="AF236" s="6">
        <v>2445</v>
      </c>
      <c r="AG236" s="6">
        <v>1870</v>
      </c>
      <c r="AH236" s="6">
        <v>1893</v>
      </c>
      <c r="AI236" s="6">
        <v>2290</v>
      </c>
      <c r="AJ236" s="6">
        <v>5605</v>
      </c>
      <c r="AK236" s="6">
        <v>5591</v>
      </c>
      <c r="AL236" s="6">
        <v>5593</v>
      </c>
      <c r="AM236" s="6">
        <v>5648</v>
      </c>
      <c r="AN236" s="6">
        <v>5647</v>
      </c>
      <c r="AO236" s="6">
        <v>5563</v>
      </c>
      <c r="AP236" s="6">
        <v>5809</v>
      </c>
      <c r="AQ236" s="6">
        <v>5768</v>
      </c>
    </row>
    <row r="237" spans="1:45" s="5" customFormat="1" x14ac:dyDescent="0.2">
      <c r="A237" s="25" t="s">
        <v>240</v>
      </c>
      <c r="B237" s="4">
        <f t="shared" si="148"/>
        <v>-45512</v>
      </c>
      <c r="C237" s="4">
        <f t="shared" si="149"/>
        <v>-6196</v>
      </c>
      <c r="D237" s="4">
        <f t="shared" si="153"/>
        <v>29068</v>
      </c>
      <c r="E237" s="4">
        <f t="shared" si="150"/>
        <v>11283</v>
      </c>
      <c r="F237" s="4">
        <f t="shared" si="151"/>
        <v>38932</v>
      </c>
      <c r="V237" s="6">
        <v>4661</v>
      </c>
      <c r="W237" s="5">
        <v>-216</v>
      </c>
      <c r="X237" s="6">
        <v>1136</v>
      </c>
      <c r="Y237" s="6">
        <v>-51093</v>
      </c>
      <c r="Z237" s="6">
        <v>3859</v>
      </c>
      <c r="AA237" s="5">
        <v>641</v>
      </c>
      <c r="AB237" s="5">
        <v>473</v>
      </c>
      <c r="AC237" s="6">
        <v>-11169</v>
      </c>
      <c r="AD237" s="5">
        <v>-70</v>
      </c>
      <c r="AE237" s="6">
        <v>9195</v>
      </c>
      <c r="AF237" s="6">
        <v>15388</v>
      </c>
      <c r="AG237" s="6">
        <v>4555</v>
      </c>
      <c r="AH237" s="6">
        <v>13429</v>
      </c>
      <c r="AI237" s="6">
        <v>15180</v>
      </c>
      <c r="AJ237" s="6">
        <v>3515</v>
      </c>
      <c r="AK237" s="6">
        <v>11283</v>
      </c>
      <c r="AL237" s="6">
        <v>16929</v>
      </c>
      <c r="AM237" s="6">
        <v>14730</v>
      </c>
      <c r="AN237" s="6">
        <v>24478</v>
      </c>
      <c r="AO237" s="6">
        <v>-17205</v>
      </c>
      <c r="AP237" s="6">
        <v>13609</v>
      </c>
      <c r="AQ237" s="6">
        <v>26733</v>
      </c>
    </row>
    <row r="238" spans="1:45" s="5" customFormat="1" x14ac:dyDescent="0.2">
      <c r="A238" s="23" t="s">
        <v>254</v>
      </c>
      <c r="B238" s="4">
        <f t="shared" si="148"/>
        <v>11681</v>
      </c>
      <c r="C238" s="4"/>
      <c r="D238" s="4"/>
      <c r="E238" s="4"/>
      <c r="F238" s="4"/>
      <c r="V238" s="6">
        <v>1681</v>
      </c>
      <c r="W238" s="6">
        <v>10000</v>
      </c>
    </row>
    <row r="239" spans="1:45" s="5" customFormat="1" x14ac:dyDescent="0.2">
      <c r="A239" s="25" t="s">
        <v>130</v>
      </c>
      <c r="B239" s="4">
        <f t="shared" si="148"/>
        <v>84153</v>
      </c>
      <c r="C239" s="4">
        <f t="shared" si="149"/>
        <v>66763</v>
      </c>
      <c r="D239" s="4">
        <f t="shared" si="153"/>
        <v>55763</v>
      </c>
      <c r="E239" s="4">
        <f t="shared" si="150"/>
        <v>15298</v>
      </c>
      <c r="F239" s="4">
        <f t="shared" si="151"/>
        <v>49517</v>
      </c>
      <c r="V239" s="6">
        <v>21810</v>
      </c>
      <c r="W239" s="6">
        <v>21109</v>
      </c>
      <c r="X239" s="6">
        <v>21333</v>
      </c>
      <c r="Y239" s="6">
        <v>19901</v>
      </c>
      <c r="Z239" s="6">
        <v>16837</v>
      </c>
      <c r="AA239" s="6">
        <v>16414</v>
      </c>
      <c r="AB239" s="6">
        <v>17361</v>
      </c>
      <c r="AC239" s="6">
        <v>16151</v>
      </c>
      <c r="AD239" s="6">
        <v>14463</v>
      </c>
      <c r="AE239" s="6">
        <v>13905</v>
      </c>
      <c r="AF239" s="6">
        <v>13645</v>
      </c>
      <c r="AG239" s="6">
        <v>13750</v>
      </c>
      <c r="AH239" s="6">
        <v>12744</v>
      </c>
      <c r="AI239" s="6">
        <v>13519</v>
      </c>
      <c r="AJ239" s="6">
        <v>14716</v>
      </c>
      <c r="AK239" s="6">
        <v>15298</v>
      </c>
      <c r="AL239" s="6">
        <v>12068</v>
      </c>
      <c r="AM239" s="6">
        <v>12114</v>
      </c>
      <c r="AN239" s="6">
        <v>12039</v>
      </c>
      <c r="AO239" s="6">
        <v>13296</v>
      </c>
      <c r="AP239" s="6">
        <v>18536</v>
      </c>
      <c r="AQ239" s="6">
        <v>18626</v>
      </c>
    </row>
    <row r="240" spans="1:45" s="5" customFormat="1" x14ac:dyDescent="0.2">
      <c r="A240" s="25" t="s">
        <v>147</v>
      </c>
      <c r="B240" s="4">
        <f t="shared" si="148"/>
        <v>54623</v>
      </c>
      <c r="C240" s="4">
        <f t="shared" si="149"/>
        <v>-13625</v>
      </c>
      <c r="D240" s="4">
        <f t="shared" si="153"/>
        <v>43989</v>
      </c>
      <c r="E240" s="4">
        <f t="shared" si="150"/>
        <v>3303</v>
      </c>
      <c r="F240" s="4">
        <f t="shared" si="151"/>
        <v>931</v>
      </c>
      <c r="V240" s="6">
        <v>-1980</v>
      </c>
      <c r="W240" s="5">
        <v>192</v>
      </c>
      <c r="X240" s="5">
        <v>958</v>
      </c>
      <c r="Y240" s="6">
        <v>55453</v>
      </c>
      <c r="Z240" s="6">
        <v>-6366</v>
      </c>
      <c r="AA240" s="6">
        <v>-3459</v>
      </c>
      <c r="AB240" s="6">
        <v>-1272</v>
      </c>
      <c r="AC240" s="6">
        <v>-2528</v>
      </c>
      <c r="AD240" s="6">
        <v>36609</v>
      </c>
      <c r="AE240" s="5">
        <v>874</v>
      </c>
      <c r="AF240" s="5">
        <v>-615</v>
      </c>
      <c r="AG240" s="6">
        <v>7121</v>
      </c>
      <c r="AH240" s="5">
        <v>198</v>
      </c>
      <c r="AI240" s="5">
        <v>-99</v>
      </c>
      <c r="AJ240" s="5">
        <v>-723</v>
      </c>
      <c r="AK240" s="6">
        <v>3303</v>
      </c>
      <c r="AL240" s="5">
        <v>-553</v>
      </c>
      <c r="AM240" s="6">
        <v>1237</v>
      </c>
      <c r="AN240" s="5">
        <v>188</v>
      </c>
      <c r="AO240" s="5">
        <v>59</v>
      </c>
      <c r="AP240" s="5">
        <v>214</v>
      </c>
      <c r="AQ240" s="5">
        <v>233</v>
      </c>
    </row>
    <row r="241" spans="1:46" s="5" customFormat="1" x14ac:dyDescent="0.2">
      <c r="A241" s="25" t="s">
        <v>135</v>
      </c>
      <c r="B241" s="4">
        <f t="shared" si="148"/>
        <v>64289</v>
      </c>
      <c r="C241" s="4">
        <f t="shared" si="149"/>
        <v>3505</v>
      </c>
      <c r="D241" s="4">
        <f t="shared" si="153"/>
        <v>667</v>
      </c>
      <c r="E241" s="4">
        <f t="shared" si="150"/>
        <v>-59</v>
      </c>
      <c r="F241" s="4">
        <f t="shared" si="151"/>
        <v>79</v>
      </c>
      <c r="V241" s="6">
        <v>1392</v>
      </c>
      <c r="W241" s="6">
        <v>24711</v>
      </c>
      <c r="X241" s="6">
        <v>2171</v>
      </c>
      <c r="Y241" s="6">
        <v>36015</v>
      </c>
      <c r="Z241" s="6">
        <v>2221</v>
      </c>
      <c r="AA241" s="6">
        <v>194</v>
      </c>
      <c r="AB241" s="5">
        <v>767</v>
      </c>
      <c r="AC241" s="5">
        <v>323</v>
      </c>
      <c r="AD241" s="5">
        <v>18</v>
      </c>
      <c r="AE241" s="5">
        <v>612</v>
      </c>
      <c r="AF241" s="5">
        <v>45</v>
      </c>
      <c r="AG241" s="5">
        <v>-8</v>
      </c>
      <c r="AH241" s="5">
        <v>23</v>
      </c>
      <c r="AI241" s="5">
        <v>-65</v>
      </c>
      <c r="AJ241" s="5">
        <v>698</v>
      </c>
      <c r="AK241" s="5">
        <v>-59</v>
      </c>
      <c r="AL241" s="5">
        <v>79</v>
      </c>
    </row>
    <row r="242" spans="1:46" s="5" customFormat="1" x14ac:dyDescent="0.2">
      <c r="A242" s="23" t="s">
        <v>252</v>
      </c>
      <c r="B242" s="4"/>
      <c r="C242" s="4"/>
      <c r="D242" s="4"/>
      <c r="E242" s="4"/>
      <c r="F242" s="4"/>
    </row>
    <row r="243" spans="1:46" s="5" customFormat="1" x14ac:dyDescent="0.2">
      <c r="A243" s="23" t="s">
        <v>250</v>
      </c>
      <c r="B243" s="4"/>
      <c r="C243" s="4">
        <f t="shared" si="149"/>
        <v>8719</v>
      </c>
      <c r="D243" s="4"/>
      <c r="E243" s="4"/>
      <c r="F243" s="4"/>
      <c r="AC243" s="6">
        <v>8719</v>
      </c>
    </row>
    <row r="244" spans="1:46" s="5" customFormat="1" x14ac:dyDescent="0.2">
      <c r="A244" s="23" t="s">
        <v>253</v>
      </c>
      <c r="B244" s="4"/>
      <c r="C244" s="4">
        <f t="shared" si="149"/>
        <v>675</v>
      </c>
      <c r="D244" s="4">
        <f t="shared" si="153"/>
        <v>-5</v>
      </c>
      <c r="E244" s="4"/>
      <c r="F244" s="4">
        <f t="shared" si="151"/>
        <v>1736</v>
      </c>
      <c r="AA244" s="5">
        <v>710</v>
      </c>
      <c r="AB244" s="5">
        <v>-35</v>
      </c>
      <c r="AF244" s="5">
        <v>-5</v>
      </c>
      <c r="AN244" s="6">
        <v>1566</v>
      </c>
      <c r="AO244" s="5">
        <v>170</v>
      </c>
      <c r="AP244" s="5">
        <v>20</v>
      </c>
      <c r="AQ244" s="5">
        <v>455</v>
      </c>
    </row>
    <row r="245" spans="1:46" s="5" customFormat="1" x14ac:dyDescent="0.2">
      <c r="A245" s="23" t="s">
        <v>249</v>
      </c>
      <c r="B245" s="4"/>
      <c r="C245" s="4">
        <f t="shared" si="149"/>
        <v>1885</v>
      </c>
      <c r="D245" s="4"/>
      <c r="E245" s="4"/>
      <c r="F245" s="4"/>
      <c r="AB245" s="6">
        <v>1885</v>
      </c>
    </row>
    <row r="246" spans="1:46" s="5" customFormat="1" x14ac:dyDescent="0.2">
      <c r="A246" s="23" t="s">
        <v>247</v>
      </c>
      <c r="B246" s="4"/>
      <c r="C246" s="4">
        <f t="shared" si="149"/>
        <v>38480</v>
      </c>
      <c r="D246" s="4"/>
      <c r="E246" s="4"/>
      <c r="F246" s="4"/>
      <c r="AA246" s="6">
        <v>38480</v>
      </c>
    </row>
    <row r="247" spans="1:46" s="5" customFormat="1" x14ac:dyDescent="0.2">
      <c r="A247" s="25" t="s">
        <v>222</v>
      </c>
      <c r="B247" s="4">
        <f t="shared" si="148"/>
        <v>151</v>
      </c>
      <c r="C247" s="4">
        <f>SUM(Z247:AC247)</f>
        <v>506</v>
      </c>
      <c r="D247" s="4">
        <f t="shared" si="153"/>
        <v>144</v>
      </c>
      <c r="E247" s="4">
        <f t="shared" si="150"/>
        <v>67</v>
      </c>
      <c r="F247" s="4">
        <f t="shared" si="151"/>
        <v>7433</v>
      </c>
      <c r="V247" s="6">
        <v>-377</v>
      </c>
      <c r="W247" s="5">
        <v>-109</v>
      </c>
      <c r="X247" s="5">
        <v>118</v>
      </c>
      <c r="Y247" s="5">
        <v>519</v>
      </c>
      <c r="Z247" s="5">
        <v>62</v>
      </c>
      <c r="AA247" s="5">
        <v>154</v>
      </c>
      <c r="AB247" s="5">
        <v>154</v>
      </c>
      <c r="AC247" s="5">
        <v>136</v>
      </c>
      <c r="AD247" s="5">
        <v>45</v>
      </c>
      <c r="AE247" s="5">
        <v>44</v>
      </c>
      <c r="AF247" s="5">
        <v>28</v>
      </c>
      <c r="AG247" s="5">
        <v>27</v>
      </c>
      <c r="AH247" s="5">
        <v>318</v>
      </c>
      <c r="AI247" s="5">
        <v>90</v>
      </c>
      <c r="AJ247" s="5">
        <v>248</v>
      </c>
      <c r="AK247" s="5">
        <v>67</v>
      </c>
      <c r="AL247" s="5">
        <v>51</v>
      </c>
      <c r="AM247" s="5">
        <v>33</v>
      </c>
      <c r="AN247" s="6">
        <v>1286</v>
      </c>
      <c r="AO247" s="6">
        <v>6063</v>
      </c>
      <c r="AP247" s="6">
        <v>5977</v>
      </c>
      <c r="AQ247" s="6">
        <v>1252</v>
      </c>
    </row>
    <row r="248" spans="1:46" s="5" customFormat="1" x14ac:dyDescent="0.2">
      <c r="A248" s="23" t="s">
        <v>255</v>
      </c>
      <c r="B248" s="4"/>
      <c r="C248" s="4"/>
      <c r="D248" s="4"/>
      <c r="E248" s="4"/>
      <c r="F248" s="4"/>
      <c r="AQ248" s="6">
        <v>-3249</v>
      </c>
    </row>
    <row r="249" spans="1:46" x14ac:dyDescent="0.2">
      <c r="A249" s="28" t="s">
        <v>241</v>
      </c>
      <c r="B249" s="7">
        <f>SUM(V249,W249,X249,Y249)</f>
        <v>115211</v>
      </c>
      <c r="C249" s="7">
        <f>SUM(Z249:AC249)</f>
        <v>95071</v>
      </c>
      <c r="D249" s="7">
        <f t="shared" si="153"/>
        <v>225584</v>
      </c>
      <c r="E249" s="7">
        <f t="shared" si="150"/>
        <v>81407</v>
      </c>
      <c r="F249" s="7">
        <f t="shared" si="151"/>
        <v>373758</v>
      </c>
      <c r="G249" s="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7">
        <f>SUM(V234:V248)</f>
        <v>49723</v>
      </c>
      <c r="W249" s="7">
        <f>SUM(W234:W248)</f>
        <v>36136</v>
      </c>
      <c r="X249" s="7">
        <f t="shared" ref="X249:AS249" si="154">SUM(X234:X248)</f>
        <v>26123</v>
      </c>
      <c r="Y249" s="7">
        <f t="shared" si="154"/>
        <v>3229</v>
      </c>
      <c r="Z249" s="7">
        <f t="shared" si="154"/>
        <v>18894</v>
      </c>
      <c r="AA249" s="7">
        <f t="shared" si="154"/>
        <v>17478</v>
      </c>
      <c r="AB249" s="7">
        <f t="shared" si="154"/>
        <v>24328</v>
      </c>
      <c r="AC249" s="7">
        <f t="shared" si="154"/>
        <v>34371</v>
      </c>
      <c r="AD249" s="7">
        <f t="shared" si="154"/>
        <v>39468</v>
      </c>
      <c r="AE249" s="7">
        <f t="shared" si="154"/>
        <v>49300</v>
      </c>
      <c r="AF249" s="7">
        <f t="shared" si="154"/>
        <v>68461</v>
      </c>
      <c r="AG249" s="7">
        <f t="shared" si="154"/>
        <v>68355</v>
      </c>
      <c r="AH249" s="7">
        <f t="shared" si="154"/>
        <v>76480</v>
      </c>
      <c r="AI249" s="7">
        <f t="shared" si="154"/>
        <v>77105</v>
      </c>
      <c r="AJ249" s="7">
        <f t="shared" si="154"/>
        <v>88598</v>
      </c>
      <c r="AK249" s="7">
        <f t="shared" si="154"/>
        <v>81407</v>
      </c>
      <c r="AL249" s="7">
        <f t="shared" si="154"/>
        <v>87931</v>
      </c>
      <c r="AM249" s="7">
        <f t="shared" si="154"/>
        <v>89799</v>
      </c>
      <c r="AN249" s="7">
        <f t="shared" si="154"/>
        <v>97248</v>
      </c>
      <c r="AO249" s="7">
        <f t="shared" si="154"/>
        <v>98780</v>
      </c>
      <c r="AP249" s="7">
        <f t="shared" si="154"/>
        <v>91964</v>
      </c>
      <c r="AQ249" s="7">
        <f t="shared" si="154"/>
        <v>96837</v>
      </c>
      <c r="AR249" s="7">
        <f t="shared" si="154"/>
        <v>0</v>
      </c>
      <c r="AS249" s="7">
        <f t="shared" si="154"/>
        <v>0</v>
      </c>
    </row>
    <row r="250" spans="1:46" x14ac:dyDescent="0.2">
      <c r="A250" s="29" t="s">
        <v>242</v>
      </c>
      <c r="V250" s="8">
        <f t="shared" ref="V250:AS250" si="155">V249/V10</f>
        <v>9.5699553865281936E-2</v>
      </c>
      <c r="W250" s="8">
        <f t="shared" si="155"/>
        <v>7.3835541425220474E-2</v>
      </c>
      <c r="X250" s="8">
        <f t="shared" si="155"/>
        <v>5.364627507192745E-2</v>
      </c>
      <c r="Y250" s="8">
        <f t="shared" si="155"/>
        <v>6.6489991495705643E-3</v>
      </c>
      <c r="Z250" s="8">
        <f t="shared" si="155"/>
        <v>3.9749143228613323E-2</v>
      </c>
      <c r="AA250" s="8">
        <f t="shared" si="155"/>
        <v>4.0469387471577883E-2</v>
      </c>
      <c r="AB250" s="8">
        <f t="shared" si="155"/>
        <v>5.7805445991541131E-2</v>
      </c>
      <c r="AC250" s="8">
        <f t="shared" si="155"/>
        <v>7.3522271016982152E-2</v>
      </c>
      <c r="AD250" s="8">
        <f t="shared" si="155"/>
        <v>7.9794912437477009E-2</v>
      </c>
      <c r="AE250" s="8">
        <f t="shared" si="155"/>
        <v>9.1115752120797686E-2</v>
      </c>
      <c r="AF250" s="8">
        <f t="shared" si="155"/>
        <v>0.12208348491008823</v>
      </c>
      <c r="AG250" s="8">
        <f t="shared" si="155"/>
        <v>0.11843069582256967</v>
      </c>
      <c r="AH250" s="8">
        <f t="shared" si="155"/>
        <v>0.12673960380616531</v>
      </c>
      <c r="AI250" s="8">
        <f t="shared" si="155"/>
        <v>0.12659485214318902</v>
      </c>
      <c r="AJ250" s="8">
        <f t="shared" si="155"/>
        <v>0.14395364782878553</v>
      </c>
      <c r="AK250" s="8">
        <f t="shared" si="155"/>
        <v>0.13283044851712614</v>
      </c>
      <c r="AL250" s="8">
        <f t="shared" si="155"/>
        <v>0.14482558704506787</v>
      </c>
      <c r="AM250" s="8">
        <f t="shared" si="155"/>
        <v>0.14799731690072368</v>
      </c>
      <c r="AN250" s="8">
        <f t="shared" si="155"/>
        <v>0.16720051579626047</v>
      </c>
      <c r="AO250" s="8">
        <f t="shared" si="155"/>
        <v>0.1727959248290496</v>
      </c>
      <c r="AP250" s="8">
        <f t="shared" si="155"/>
        <v>0.15667260665574073</v>
      </c>
      <c r="AQ250" s="8">
        <f t="shared" si="155"/>
        <v>0.17203172132982295</v>
      </c>
      <c r="AR250" s="8" t="e">
        <f t="shared" si="155"/>
        <v>#DIV/0!</v>
      </c>
      <c r="AS250" s="8" t="e">
        <f t="shared" si="155"/>
        <v>#DIV/0!</v>
      </c>
    </row>
    <row r="251" spans="1:46" x14ac:dyDescent="0.2">
      <c r="AT251" s="8"/>
    </row>
    <row r="253" spans="1:46" ht="17" thickBot="1" x14ac:dyDescent="0.25">
      <c r="A253" s="17" t="s">
        <v>178</v>
      </c>
      <c r="B253" s="1"/>
      <c r="C253" s="1"/>
      <c r="D253" s="3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6" x14ac:dyDescent="0.2">
      <c r="B254" s="2" t="s">
        <v>3</v>
      </c>
      <c r="C254" s="2" t="s">
        <v>4</v>
      </c>
      <c r="D254" s="39" t="s">
        <v>5</v>
      </c>
      <c r="E254" s="2" t="s">
        <v>6</v>
      </c>
      <c r="F254" s="2" t="s">
        <v>7</v>
      </c>
      <c r="G254" s="2" t="s">
        <v>8</v>
      </c>
      <c r="I254" s="2" t="s">
        <v>9</v>
      </c>
      <c r="J254" s="2" t="s">
        <v>10</v>
      </c>
      <c r="K254" s="2" t="s">
        <v>11</v>
      </c>
      <c r="L254" s="2" t="s">
        <v>12</v>
      </c>
      <c r="M254" s="2" t="s">
        <v>13</v>
      </c>
      <c r="N254" s="2" t="s">
        <v>14</v>
      </c>
      <c r="O254" s="2" t="s">
        <v>15</v>
      </c>
      <c r="P254" s="2" t="s">
        <v>16</v>
      </c>
      <c r="Q254" s="2" t="s">
        <v>17</v>
      </c>
      <c r="R254" s="2" t="s">
        <v>18</v>
      </c>
      <c r="S254" s="2" t="s">
        <v>19</v>
      </c>
      <c r="T254" s="2" t="s">
        <v>20</v>
      </c>
      <c r="V254" s="2" t="s">
        <v>21</v>
      </c>
      <c r="W254" s="2" t="s">
        <v>22</v>
      </c>
      <c r="X254" s="2" t="s">
        <v>23</v>
      </c>
      <c r="Y254" s="2" t="s">
        <v>24</v>
      </c>
      <c r="Z254" s="2" t="s">
        <v>25</v>
      </c>
      <c r="AA254" s="2" t="s">
        <v>26</v>
      </c>
      <c r="AB254" s="2" t="s">
        <v>27</v>
      </c>
      <c r="AC254" s="2" t="s">
        <v>28</v>
      </c>
      <c r="AD254" s="2" t="s">
        <v>29</v>
      </c>
      <c r="AE254" s="2" t="s">
        <v>30</v>
      </c>
      <c r="AF254" s="2" t="s">
        <v>31</v>
      </c>
      <c r="AG254" s="2" t="s">
        <v>32</v>
      </c>
      <c r="AH254" s="2" t="s">
        <v>33</v>
      </c>
      <c r="AI254" s="2" t="s">
        <v>34</v>
      </c>
      <c r="AJ254" s="2" t="s">
        <v>35</v>
      </c>
      <c r="AK254" s="2" t="s">
        <v>36</v>
      </c>
      <c r="AL254" s="2" t="s">
        <v>37</v>
      </c>
      <c r="AM254" s="2" t="s">
        <v>38</v>
      </c>
      <c r="AN254" s="2" t="s">
        <v>39</v>
      </c>
      <c r="AO254" s="2" t="s">
        <v>40</v>
      </c>
      <c r="AP254" s="2" t="s">
        <v>41</v>
      </c>
      <c r="AQ254" s="2" t="s">
        <v>42</v>
      </c>
      <c r="AR254" s="2" t="s">
        <v>43</v>
      </c>
      <c r="AS254" s="2" t="s">
        <v>44</v>
      </c>
    </row>
    <row r="256" spans="1:46" x14ac:dyDescent="0.2">
      <c r="A256" s="19" t="s">
        <v>179</v>
      </c>
    </row>
    <row r="257" spans="1:45" s="5" customFormat="1" x14ac:dyDescent="0.2">
      <c r="A257" s="23" t="s">
        <v>180</v>
      </c>
      <c r="B257" s="4">
        <f t="shared" ref="B257:B258" si="156">SUM(V257,W257,X257,Y257)</f>
        <v>635103</v>
      </c>
      <c r="C257" s="4">
        <f t="shared" ref="C257:C258" si="157">SUM(Z257:AC257)</f>
        <v>433354</v>
      </c>
      <c r="D257" s="4">
        <f t="shared" ref="D257:D259" si="158">SUM(AD257:AG257)</f>
        <v>452718</v>
      </c>
      <c r="E257" s="4">
        <f t="shared" ref="E257:E259" si="159">SUM(AH257:AK257)</f>
        <v>473329</v>
      </c>
      <c r="F257" s="4">
        <f t="shared" ref="F257:F259" si="160">SUM(AL257:AO257)</f>
        <v>444598</v>
      </c>
      <c r="V257" s="6">
        <v>170331</v>
      </c>
      <c r="W257" s="6">
        <v>160647</v>
      </c>
      <c r="X257" s="6">
        <v>149830</v>
      </c>
      <c r="Y257" s="6">
        <v>154295</v>
      </c>
      <c r="Z257" s="6">
        <v>137886</v>
      </c>
      <c r="AA257" s="6">
        <v>103433</v>
      </c>
      <c r="AB257" s="6">
        <v>92893</v>
      </c>
      <c r="AC257" s="6">
        <v>99142</v>
      </c>
      <c r="AD257" s="6">
        <v>117451</v>
      </c>
      <c r="AE257" s="6">
        <v>112509</v>
      </c>
      <c r="AF257" s="6">
        <v>110138</v>
      </c>
      <c r="AG257" s="6">
        <v>112620</v>
      </c>
      <c r="AH257" s="6">
        <v>125908</v>
      </c>
      <c r="AI257" s="6">
        <v>117929</v>
      </c>
      <c r="AJ257" s="6">
        <v>122119</v>
      </c>
      <c r="AK257" s="6">
        <v>107373</v>
      </c>
      <c r="AL257" s="6">
        <v>125387</v>
      </c>
      <c r="AM257" s="6">
        <v>111939</v>
      </c>
      <c r="AN257" s="6">
        <v>103097</v>
      </c>
      <c r="AO257" s="6">
        <v>104175</v>
      </c>
      <c r="AP257" s="6">
        <v>123728</v>
      </c>
      <c r="AQ257" s="6">
        <v>110940</v>
      </c>
    </row>
    <row r="258" spans="1:45" s="5" customFormat="1" x14ac:dyDescent="0.2">
      <c r="A258" s="23" t="s">
        <v>181</v>
      </c>
      <c r="B258" s="4">
        <f t="shared" si="156"/>
        <v>10001</v>
      </c>
      <c r="C258" s="4">
        <f t="shared" si="157"/>
        <v>5356</v>
      </c>
      <c r="D258" s="4">
        <f t="shared" si="158"/>
        <v>3008</v>
      </c>
      <c r="E258" s="4">
        <f t="shared" si="159"/>
        <v>3248</v>
      </c>
      <c r="F258" s="4">
        <f t="shared" si="160"/>
        <v>2483</v>
      </c>
      <c r="V258" s="6">
        <v>2450</v>
      </c>
      <c r="W258" s="6">
        <v>2320</v>
      </c>
      <c r="X258" s="6">
        <v>2404</v>
      </c>
      <c r="Y258" s="6">
        <v>2827</v>
      </c>
      <c r="Z258" s="6">
        <v>1679</v>
      </c>
      <c r="AA258" s="6">
        <v>1377</v>
      </c>
      <c r="AB258" s="6">
        <v>1110</v>
      </c>
      <c r="AC258" s="6">
        <v>1190</v>
      </c>
      <c r="AD258" s="5">
        <v>803</v>
      </c>
      <c r="AE258" s="5">
        <v>651</v>
      </c>
      <c r="AF258" s="5">
        <v>631</v>
      </c>
      <c r="AG258" s="5">
        <v>923</v>
      </c>
      <c r="AH258" s="5">
        <v>844</v>
      </c>
      <c r="AI258" s="5">
        <v>621</v>
      </c>
      <c r="AJ258" s="5">
        <v>619</v>
      </c>
      <c r="AK258" s="6">
        <v>1164</v>
      </c>
      <c r="AL258" s="5">
        <v>484</v>
      </c>
      <c r="AM258" s="5">
        <v>821</v>
      </c>
      <c r="AN258" s="5">
        <v>525</v>
      </c>
      <c r="AO258" s="5">
        <v>653</v>
      </c>
      <c r="AP258" s="5">
        <v>649</v>
      </c>
      <c r="AQ258" s="5">
        <v>505</v>
      </c>
    </row>
    <row r="259" spans="1:45" x14ac:dyDescent="0.2">
      <c r="A259" s="21" t="s">
        <v>182</v>
      </c>
      <c r="B259" s="7">
        <f>SUM(V259,W259,X259,Y259)</f>
        <v>645104</v>
      </c>
      <c r="C259" s="7">
        <f>SUM(Z259:AC259)</f>
        <v>438710</v>
      </c>
      <c r="D259" s="7">
        <f t="shared" si="158"/>
        <v>455726</v>
      </c>
      <c r="E259" s="7">
        <f t="shared" si="159"/>
        <v>476577</v>
      </c>
      <c r="F259" s="7">
        <f t="shared" si="160"/>
        <v>447081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7">
        <f>SUM(V257:V258)</f>
        <v>172781</v>
      </c>
      <c r="W259" s="7">
        <f>SUM(W257:W258)</f>
        <v>162967</v>
      </c>
      <c r="X259" s="7">
        <f t="shared" ref="X259:AS259" si="161">SUM(X257:X258)</f>
        <v>152234</v>
      </c>
      <c r="Y259" s="7">
        <f t="shared" si="161"/>
        <v>157122</v>
      </c>
      <c r="Z259" s="7">
        <f t="shared" si="161"/>
        <v>139565</v>
      </c>
      <c r="AA259" s="7">
        <f t="shared" si="161"/>
        <v>104810</v>
      </c>
      <c r="AB259" s="7">
        <f t="shared" si="161"/>
        <v>94003</v>
      </c>
      <c r="AC259" s="7">
        <f t="shared" si="161"/>
        <v>100332</v>
      </c>
      <c r="AD259" s="7">
        <f t="shared" si="161"/>
        <v>118254</v>
      </c>
      <c r="AE259" s="7">
        <f t="shared" si="161"/>
        <v>113160</v>
      </c>
      <c r="AF259" s="7">
        <f t="shared" si="161"/>
        <v>110769</v>
      </c>
      <c r="AG259" s="7">
        <f t="shared" si="161"/>
        <v>113543</v>
      </c>
      <c r="AH259" s="7">
        <f t="shared" si="161"/>
        <v>126752</v>
      </c>
      <c r="AI259" s="7">
        <f t="shared" si="161"/>
        <v>118550</v>
      </c>
      <c r="AJ259" s="7">
        <f t="shared" si="161"/>
        <v>122738</v>
      </c>
      <c r="AK259" s="7">
        <f t="shared" si="161"/>
        <v>108537</v>
      </c>
      <c r="AL259" s="7">
        <f t="shared" si="161"/>
        <v>125871</v>
      </c>
      <c r="AM259" s="7">
        <f t="shared" si="161"/>
        <v>112760</v>
      </c>
      <c r="AN259" s="7">
        <f t="shared" si="161"/>
        <v>103622</v>
      </c>
      <c r="AO259" s="7">
        <f t="shared" si="161"/>
        <v>104828</v>
      </c>
      <c r="AP259" s="7">
        <f t="shared" si="161"/>
        <v>124377</v>
      </c>
      <c r="AQ259" s="7">
        <f t="shared" si="161"/>
        <v>111445</v>
      </c>
      <c r="AR259" s="7">
        <f t="shared" si="161"/>
        <v>0</v>
      </c>
      <c r="AS259" s="7">
        <f t="shared" si="161"/>
        <v>0</v>
      </c>
    </row>
    <row r="260" spans="1:45" x14ac:dyDescent="0.2">
      <c r="A260" s="22" t="s">
        <v>183</v>
      </c>
      <c r="Z260" s="35">
        <f>(Z259-V259)/V259</f>
        <v>-0.19224336009167675</v>
      </c>
      <c r="AA260" s="35">
        <f t="shared" ref="AA260:AS260" si="162">(AA259-W259)/W259</f>
        <v>-0.35686365951388932</v>
      </c>
      <c r="AB260" s="35">
        <f t="shared" si="162"/>
        <v>-0.38250982040805603</v>
      </c>
      <c r="AC260" s="35">
        <f t="shared" si="162"/>
        <v>-0.3614388818879597</v>
      </c>
      <c r="AD260" s="35">
        <f t="shared" si="162"/>
        <v>-0.15269587647332783</v>
      </c>
      <c r="AE260" s="35">
        <f t="shared" si="162"/>
        <v>7.9667970613491082E-2</v>
      </c>
      <c r="AF260" s="35">
        <f t="shared" si="162"/>
        <v>0.1783560099145772</v>
      </c>
      <c r="AG260" s="35">
        <f t="shared" si="162"/>
        <v>0.1316728461507794</v>
      </c>
      <c r="AH260" s="35">
        <f t="shared" si="162"/>
        <v>7.1862262587312056E-2</v>
      </c>
      <c r="AI260" s="35">
        <f t="shared" si="162"/>
        <v>4.7631671968893605E-2</v>
      </c>
      <c r="AJ260" s="35">
        <f t="shared" si="162"/>
        <v>0.10805369733409168</v>
      </c>
      <c r="AK260" s="35">
        <f t="shared" si="162"/>
        <v>-4.4089023541741892E-2</v>
      </c>
      <c r="AL260" s="35">
        <f t="shared" si="162"/>
        <v>-6.9505806614491286E-3</v>
      </c>
      <c r="AM260" s="35">
        <f t="shared" si="162"/>
        <v>-4.8840151834668916E-2</v>
      </c>
      <c r="AN260" s="35">
        <f t="shared" si="162"/>
        <v>-0.15574638661213316</v>
      </c>
      <c r="AO260" s="35">
        <f t="shared" si="162"/>
        <v>-3.4172678441453143E-2</v>
      </c>
      <c r="AP260" s="35">
        <f t="shared" si="162"/>
        <v>-1.1869294754153062E-2</v>
      </c>
      <c r="AQ260" s="35">
        <f t="shared" si="162"/>
        <v>-1.1661936857041503E-2</v>
      </c>
      <c r="AR260" s="35">
        <f t="shared" si="162"/>
        <v>-1</v>
      </c>
      <c r="AS260" s="35">
        <f t="shared" si="162"/>
        <v>-1</v>
      </c>
    </row>
    <row r="261" spans="1:45" s="8" customFormat="1" x14ac:dyDescent="0.2">
      <c r="A261" s="22" t="s">
        <v>184</v>
      </c>
      <c r="B261" s="8">
        <f>B259/B10</f>
        <v>0.3255516327441042</v>
      </c>
      <c r="C261" s="8">
        <f>C259/C10</f>
        <v>0.2443299152801014</v>
      </c>
      <c r="D261" s="8">
        <f>D259/D10</f>
        <v>0.20966096852596552</v>
      </c>
      <c r="E261" s="8">
        <f>E259/E10</f>
        <v>0.19525146496877915</v>
      </c>
      <c r="F261" s="8">
        <f>F259/F10</f>
        <v>0.18886538238944506</v>
      </c>
      <c r="V261" s="8">
        <f t="shared" ref="V261:AS261" si="163">V259/V10</f>
        <v>0.33254358378209842</v>
      </c>
      <c r="W261" s="8">
        <f t="shared" si="163"/>
        <v>0.3329852966416843</v>
      </c>
      <c r="X261" s="8">
        <f t="shared" si="163"/>
        <v>0.31262822184664102</v>
      </c>
      <c r="Y261" s="8">
        <f t="shared" si="163"/>
        <v>0.32353795118576223</v>
      </c>
      <c r="Z261" s="8">
        <f t="shared" si="163"/>
        <v>0.29361644832758649</v>
      </c>
      <c r="AA261" s="8">
        <f t="shared" si="163"/>
        <v>0.24268202888752019</v>
      </c>
      <c r="AB261" s="8">
        <f t="shared" si="163"/>
        <v>0.22335931188518748</v>
      </c>
      <c r="AC261" s="8">
        <f t="shared" si="163"/>
        <v>0.21461803542742</v>
      </c>
      <c r="AD261" s="8">
        <f t="shared" si="163"/>
        <v>0.23908147297510401</v>
      </c>
      <c r="AE261" s="8">
        <f t="shared" si="163"/>
        <v>0.20914114624725083</v>
      </c>
      <c r="AF261" s="8">
        <f t="shared" si="163"/>
        <v>0.19752947722068862</v>
      </c>
      <c r="AG261" s="8">
        <f t="shared" si="163"/>
        <v>0.19672264641623916</v>
      </c>
      <c r="AH261" s="8">
        <f t="shared" si="163"/>
        <v>0.21004835593147311</v>
      </c>
      <c r="AI261" s="8">
        <f t="shared" si="163"/>
        <v>0.1946413296358869</v>
      </c>
      <c r="AJ261" s="8">
        <f t="shared" si="163"/>
        <v>0.1994241724103194</v>
      </c>
      <c r="AK261" s="8">
        <f t="shared" si="163"/>
        <v>0.17709801848370926</v>
      </c>
      <c r="AL261" s="8">
        <f t="shared" si="163"/>
        <v>0.20731416072772671</v>
      </c>
      <c r="AM261" s="8">
        <f t="shared" si="163"/>
        <v>0.18583923488820145</v>
      </c>
      <c r="AN261" s="8">
        <f t="shared" si="163"/>
        <v>0.17815946701053084</v>
      </c>
      <c r="AO261" s="8">
        <f t="shared" si="163"/>
        <v>0.18337569556569761</v>
      </c>
      <c r="AP261" s="8">
        <f t="shared" si="163"/>
        <v>0.21189235785765151</v>
      </c>
      <c r="AQ261" s="8">
        <f t="shared" si="163"/>
        <v>0.19798295262763324</v>
      </c>
      <c r="AR261" s="8" t="e">
        <f t="shared" si="163"/>
        <v>#DIV/0!</v>
      </c>
      <c r="AS261" s="8" t="e">
        <f t="shared" si="163"/>
        <v>#DIV/0!</v>
      </c>
    </row>
    <row r="262" spans="1:45" s="8" customFormat="1" x14ac:dyDescent="0.2">
      <c r="A262" s="22" t="s">
        <v>185</v>
      </c>
      <c r="B262" s="8">
        <f>B258/B259</f>
        <v>1.5502926659887398E-2</v>
      </c>
      <c r="C262" s="8">
        <f>C258/C259</f>
        <v>1.2208520434911444E-2</v>
      </c>
      <c r="D262" s="8">
        <f>D258/D259</f>
        <v>6.6004572923203855E-3</v>
      </c>
      <c r="E262" s="8">
        <f>E258/E259</f>
        <v>6.8152680469263103E-3</v>
      </c>
      <c r="F262" s="8">
        <f>F258/F259</f>
        <v>5.5538034494867824E-3</v>
      </c>
      <c r="V262" s="8">
        <f>V258/V259</f>
        <v>1.4179799862253373E-2</v>
      </c>
      <c r="W262" s="8">
        <f>W258/W259</f>
        <v>1.4236010971546387E-2</v>
      </c>
      <c r="X262" s="8">
        <f>X258/X259</f>
        <v>1.5791478907471394E-2</v>
      </c>
      <c r="Y262" s="8">
        <f t="shared" ref="Y262:AS262" si="164">Y258/Y259</f>
        <v>1.7992388080599789E-2</v>
      </c>
      <c r="Z262" s="8">
        <f t="shared" si="164"/>
        <v>1.2030236807222441E-2</v>
      </c>
      <c r="AA262" s="8">
        <f t="shared" si="164"/>
        <v>1.3138059345482301E-2</v>
      </c>
      <c r="AB262" s="8">
        <f t="shared" si="164"/>
        <v>1.1808133782964374E-2</v>
      </c>
      <c r="AC262" s="8">
        <f t="shared" si="164"/>
        <v>1.1860622732528006E-2</v>
      </c>
      <c r="AD262" s="8">
        <f t="shared" si="164"/>
        <v>6.7904679757132954E-3</v>
      </c>
      <c r="AE262" s="8">
        <f t="shared" si="164"/>
        <v>5.7529162248144217E-3</v>
      </c>
      <c r="AF262" s="8">
        <f t="shared" si="164"/>
        <v>5.6965396455687057E-3</v>
      </c>
      <c r="AG262" s="8">
        <f t="shared" si="164"/>
        <v>8.1290788511841332E-3</v>
      </c>
      <c r="AH262" s="8">
        <f t="shared" si="164"/>
        <v>6.6586720525119922E-3</v>
      </c>
      <c r="AI262" s="8">
        <f t="shared" si="164"/>
        <v>5.2382960776043864E-3</v>
      </c>
      <c r="AJ262" s="8">
        <f t="shared" si="164"/>
        <v>5.0432628851700368E-3</v>
      </c>
      <c r="AK262" s="8">
        <f t="shared" si="164"/>
        <v>1.0724453412200447E-2</v>
      </c>
      <c r="AL262" s="8">
        <f t="shared" si="164"/>
        <v>3.8452066004083544E-3</v>
      </c>
      <c r="AM262" s="8">
        <f t="shared" si="164"/>
        <v>7.2809506917346578E-3</v>
      </c>
      <c r="AN262" s="8">
        <f t="shared" si="164"/>
        <v>5.066491671652738E-3</v>
      </c>
      <c r="AO262" s="8">
        <f t="shared" si="164"/>
        <v>6.2292517266379216E-3</v>
      </c>
      <c r="AP262" s="8">
        <f t="shared" si="164"/>
        <v>5.218006544618378E-3</v>
      </c>
      <c r="AQ262" s="8">
        <f t="shared" si="164"/>
        <v>4.5313831935035222E-3</v>
      </c>
      <c r="AR262" s="8" t="e">
        <f t="shared" si="164"/>
        <v>#DIV/0!</v>
      </c>
      <c r="AS262" s="8" t="e">
        <f t="shared" si="164"/>
        <v>#DIV/0!</v>
      </c>
    </row>
    <row r="263" spans="1:45" s="5" customFormat="1" x14ac:dyDescent="0.2">
      <c r="A263" s="23" t="s">
        <v>256</v>
      </c>
      <c r="B263" s="4">
        <f t="shared" ref="B263" si="165">SUM(V263,W263,X263,Y263)</f>
        <v>99355</v>
      </c>
      <c r="C263" s="4">
        <f t="shared" ref="C263" si="166">SUM(Z263:AC263)</f>
        <v>61778</v>
      </c>
      <c r="D263" s="4">
        <f t="shared" ref="D263" si="167">SUM(AD263:AG263)</f>
        <v>105917</v>
      </c>
      <c r="E263" s="4">
        <f t="shared" ref="E263" si="168">SUM(AH263:AK263)</f>
        <v>123464</v>
      </c>
      <c r="F263" s="4">
        <f t="shared" ref="F263" si="169">SUM(AL263:AO263)</f>
        <v>139399</v>
      </c>
      <c r="V263" s="6">
        <v>32296</v>
      </c>
      <c r="W263" s="6">
        <v>30452</v>
      </c>
      <c r="X263" s="6">
        <v>22480</v>
      </c>
      <c r="Y263" s="6">
        <v>14127</v>
      </c>
      <c r="Z263" s="6">
        <v>21806</v>
      </c>
      <c r="AA263" s="6">
        <v>13878</v>
      </c>
      <c r="AB263" s="6">
        <v>14805</v>
      </c>
      <c r="AC263" s="6">
        <v>11289</v>
      </c>
      <c r="AD263" s="6">
        <v>23713</v>
      </c>
      <c r="AE263" s="6">
        <v>24719</v>
      </c>
      <c r="AF263" s="6">
        <v>26919</v>
      </c>
      <c r="AG263" s="6">
        <v>30566</v>
      </c>
      <c r="AH263" s="6">
        <v>30064</v>
      </c>
      <c r="AI263" s="6">
        <v>31231</v>
      </c>
      <c r="AJ263" s="6">
        <v>33342</v>
      </c>
      <c r="AK263" s="6">
        <v>28827</v>
      </c>
      <c r="AL263" s="6">
        <v>37753</v>
      </c>
      <c r="AM263" s="6">
        <v>33591</v>
      </c>
      <c r="AN263" s="6">
        <v>32007</v>
      </c>
      <c r="AO263" s="6">
        <v>36048</v>
      </c>
      <c r="AP263" s="6">
        <v>44019</v>
      </c>
      <c r="AQ263" s="6">
        <v>38759</v>
      </c>
    </row>
    <row r="264" spans="1:45" s="8" customFormat="1" x14ac:dyDescent="0.2">
      <c r="A264" s="22" t="s">
        <v>257</v>
      </c>
      <c r="B264" s="8">
        <f>B263/B259</f>
        <v>0.15401392643666759</v>
      </c>
      <c r="C264" s="8">
        <f>C263/C259</f>
        <v>0.14081739645779673</v>
      </c>
      <c r="D264" s="8">
        <f>D263/D259</f>
        <v>0.23241377494371618</v>
      </c>
      <c r="E264" s="8">
        <f>E263/E259</f>
        <v>0.25906411765569887</v>
      </c>
      <c r="F264" s="8">
        <f>F263/F259</f>
        <v>0.31179808580548046</v>
      </c>
      <c r="V264" s="8">
        <f>V263/V259</f>
        <v>0.18691870055156529</v>
      </c>
      <c r="W264" s="8">
        <f>W263/W259</f>
        <v>0.18685991642479766</v>
      </c>
      <c r="X264" s="8">
        <f>X263/X259</f>
        <v>0.14766740675538972</v>
      </c>
      <c r="Y264" s="8">
        <f t="shared" ref="Y264:AS264" si="170">Y263/Y259</f>
        <v>8.9911024554168092E-2</v>
      </c>
      <c r="Z264" s="8">
        <f t="shared" si="170"/>
        <v>0.15624261096979902</v>
      </c>
      <c r="AA264" s="8">
        <f t="shared" si="170"/>
        <v>0.13241102948191966</v>
      </c>
      <c r="AB264" s="8">
        <f t="shared" si="170"/>
        <v>0.15749497356467346</v>
      </c>
      <c r="AC264" s="8">
        <f t="shared" si="170"/>
        <v>0.11251644540126779</v>
      </c>
      <c r="AD264" s="8">
        <f t="shared" si="170"/>
        <v>0.2005259864359768</v>
      </c>
      <c r="AE264" s="8">
        <f t="shared" si="170"/>
        <v>0.21844291268999647</v>
      </c>
      <c r="AF264" s="8">
        <f t="shared" si="170"/>
        <v>0.24301925629011728</v>
      </c>
      <c r="AG264" s="8">
        <f t="shared" si="170"/>
        <v>0.26920197634376403</v>
      </c>
      <c r="AH264" s="8">
        <f t="shared" si="170"/>
        <v>0.23718757889421863</v>
      </c>
      <c r="AI264" s="8">
        <f t="shared" si="170"/>
        <v>0.26344158582876426</v>
      </c>
      <c r="AJ264" s="8">
        <f t="shared" si="170"/>
        <v>0.27165181117502324</v>
      </c>
      <c r="AK264" s="8">
        <f t="shared" si="170"/>
        <v>0.26559606401503633</v>
      </c>
      <c r="AL264" s="8">
        <f t="shared" si="170"/>
        <v>0.29993405947358803</v>
      </c>
      <c r="AM264" s="8">
        <f t="shared" si="170"/>
        <v>0.29789819084781838</v>
      </c>
      <c r="AN264" s="8">
        <f t="shared" si="170"/>
        <v>0.30888228368493176</v>
      </c>
      <c r="AO264" s="8">
        <f t="shared" si="170"/>
        <v>0.34387758995688172</v>
      </c>
      <c r="AP264" s="8">
        <f t="shared" si="170"/>
        <v>0.35391591692997904</v>
      </c>
      <c r="AQ264" s="8">
        <f t="shared" si="170"/>
        <v>0.34778590336040199</v>
      </c>
      <c r="AR264" s="8" t="e">
        <f t="shared" si="170"/>
        <v>#DIV/0!</v>
      </c>
      <c r="AS264" s="8" t="e">
        <f t="shared" si="170"/>
        <v>#DIV/0!</v>
      </c>
    </row>
    <row r="265" spans="1:45" s="5" customFormat="1" x14ac:dyDescent="0.2">
      <c r="A265" s="21" t="s">
        <v>186</v>
      </c>
      <c r="B265" s="7">
        <f>SUM(V265,W265,X265,Y265)</f>
        <v>57217</v>
      </c>
      <c r="C265" s="7">
        <f>SUM(Z265:AC265)</f>
        <v>26703</v>
      </c>
      <c r="D265" s="7">
        <f t="shared" ref="D265" si="171">SUM(AD265:AG265)</f>
        <v>65690</v>
      </c>
      <c r="E265" s="7">
        <f t="shared" ref="E265" si="172">SUM(AH265:AK265)</f>
        <v>93522</v>
      </c>
      <c r="F265" s="7">
        <f t="shared" ref="F265" si="173">SUM(AL265:AO265)</f>
        <v>108717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3">
        <v>21701</v>
      </c>
      <c r="W265" s="13">
        <v>19988</v>
      </c>
      <c r="X265" s="13">
        <v>12095</v>
      </c>
      <c r="Y265" s="13">
        <v>3433</v>
      </c>
      <c r="Z265" s="13">
        <v>11578</v>
      </c>
      <c r="AA265" s="13">
        <v>5459</v>
      </c>
      <c r="AB265" s="13">
        <v>7066</v>
      </c>
      <c r="AC265" s="13">
        <v>2600</v>
      </c>
      <c r="AD265" s="13">
        <v>14078</v>
      </c>
      <c r="AE265" s="13">
        <v>14084</v>
      </c>
      <c r="AF265" s="13">
        <v>17675</v>
      </c>
      <c r="AG265" s="13">
        <v>19853</v>
      </c>
      <c r="AH265" s="13">
        <v>21703</v>
      </c>
      <c r="AI265" s="13">
        <v>23725</v>
      </c>
      <c r="AJ265" s="13">
        <v>26485</v>
      </c>
      <c r="AK265" s="13">
        <v>21609</v>
      </c>
      <c r="AL265" s="13">
        <v>30471</v>
      </c>
      <c r="AM265" s="13">
        <v>25454</v>
      </c>
      <c r="AN265" s="13">
        <v>24875</v>
      </c>
      <c r="AO265" s="13">
        <v>27917</v>
      </c>
      <c r="AP265" s="13">
        <v>36892</v>
      </c>
      <c r="AQ265" s="13">
        <v>31521</v>
      </c>
      <c r="AR265" s="12"/>
      <c r="AS265" s="12"/>
    </row>
    <row r="266" spans="1:45" s="8" customFormat="1" x14ac:dyDescent="0.2">
      <c r="A266" s="22" t="s">
        <v>187</v>
      </c>
      <c r="B266" s="8">
        <f>B265/B259</f>
        <v>8.8694226047272992E-2</v>
      </c>
      <c r="C266" s="8">
        <f>C265/C259</f>
        <v>6.0867087597729706E-2</v>
      </c>
      <c r="D266" s="8">
        <f>D265/D259</f>
        <v>0.14414363016373874</v>
      </c>
      <c r="E266" s="8">
        <f>E265/E259</f>
        <v>0.19623691449650318</v>
      </c>
      <c r="F266" s="8">
        <f>F265/F259</f>
        <v>0.24317070061129861</v>
      </c>
      <c r="V266" s="8">
        <f t="shared" ref="V266:AS266" si="174">V265/V259</f>
        <v>0.1255983007390859</v>
      </c>
      <c r="W266" s="8">
        <f t="shared" si="174"/>
        <v>0.12265059797382293</v>
      </c>
      <c r="X266" s="8">
        <f t="shared" si="174"/>
        <v>7.945005714886294E-2</v>
      </c>
      <c r="Y266" s="8">
        <f t="shared" si="174"/>
        <v>2.1849263629536285E-2</v>
      </c>
      <c r="Z266" s="8">
        <f t="shared" si="174"/>
        <v>8.2957761616451117E-2</v>
      </c>
      <c r="AA266" s="8">
        <f t="shared" si="174"/>
        <v>5.2084724740005722E-2</v>
      </c>
      <c r="AB266" s="8">
        <f t="shared" si="174"/>
        <v>7.5167813793176816E-2</v>
      </c>
      <c r="AC266" s="8">
        <f t="shared" si="174"/>
        <v>2.5913965634094805E-2</v>
      </c>
      <c r="AD266" s="8">
        <f t="shared" si="174"/>
        <v>0.11904882710098601</v>
      </c>
      <c r="AE266" s="8">
        <f t="shared" si="174"/>
        <v>0.12446094026157653</v>
      </c>
      <c r="AF266" s="8">
        <f t="shared" si="174"/>
        <v>0.15956630465202359</v>
      </c>
      <c r="AG266" s="8">
        <f t="shared" si="174"/>
        <v>0.17485005680667237</v>
      </c>
      <c r="AH266" s="8">
        <f t="shared" si="174"/>
        <v>0.17122412269628881</v>
      </c>
      <c r="AI266" s="8">
        <f t="shared" si="174"/>
        <v>0.20012652889076338</v>
      </c>
      <c r="AJ266" s="8">
        <f t="shared" si="174"/>
        <v>0.21578484251006208</v>
      </c>
      <c r="AK266" s="8">
        <f t="shared" si="174"/>
        <v>0.19909339672185522</v>
      </c>
      <c r="AL266" s="8">
        <f t="shared" si="174"/>
        <v>0.24208117834926235</v>
      </c>
      <c r="AM266" s="8">
        <f t="shared" si="174"/>
        <v>0.22573607662291592</v>
      </c>
      <c r="AN266" s="8">
        <f t="shared" si="174"/>
        <v>0.2400552006330702</v>
      </c>
      <c r="AO266" s="8">
        <f t="shared" si="174"/>
        <v>0.2663124356088068</v>
      </c>
      <c r="AP266" s="8">
        <f t="shared" si="174"/>
        <v>0.29661432579978614</v>
      </c>
      <c r="AQ266" s="8">
        <f t="shared" si="174"/>
        <v>0.28283906859886043</v>
      </c>
      <c r="AR266" s="8" t="e">
        <f t="shared" si="174"/>
        <v>#DIV/0!</v>
      </c>
      <c r="AS266" s="8" t="e">
        <f t="shared" si="174"/>
        <v>#DIV/0!</v>
      </c>
    </row>
    <row r="268" spans="1:45" x14ac:dyDescent="0.2">
      <c r="A268" s="19" t="s">
        <v>188</v>
      </c>
    </row>
    <row r="269" spans="1:45" s="5" customFormat="1" x14ac:dyDescent="0.2">
      <c r="A269" s="23" t="s">
        <v>180</v>
      </c>
      <c r="B269" s="4">
        <f t="shared" ref="B269:B270" si="175">SUM(V269,W269,X269,Y269)</f>
        <v>974531</v>
      </c>
      <c r="C269" s="4">
        <f t="shared" ref="C269:C270" si="176">SUM(Z269:AC269)</f>
        <v>1002156</v>
      </c>
      <c r="D269" s="4">
        <f t="shared" ref="D269:D271" si="177">SUM(AD269:AG269)</f>
        <v>1331546</v>
      </c>
      <c r="E269" s="4">
        <f t="shared" ref="E269:E271" si="178">SUM(AH269:AK269)</f>
        <v>1546278</v>
      </c>
      <c r="F269" s="4">
        <f t="shared" ref="F269:F271" si="179">SUM(AL269:AO269)</f>
        <v>1442243</v>
      </c>
      <c r="V269" s="6">
        <v>258703</v>
      </c>
      <c r="W269" s="6">
        <v>235167</v>
      </c>
      <c r="X269" s="6">
        <v>242527</v>
      </c>
      <c r="Y269" s="6">
        <v>238134</v>
      </c>
      <c r="Z269" s="6">
        <v>249268</v>
      </c>
      <c r="AA269" s="6">
        <v>241592</v>
      </c>
      <c r="AB269" s="6">
        <v>240498</v>
      </c>
      <c r="AC269" s="6">
        <v>270798</v>
      </c>
      <c r="AD269" s="6">
        <v>281470</v>
      </c>
      <c r="AE269" s="6">
        <v>330668</v>
      </c>
      <c r="AF269" s="6">
        <v>352771</v>
      </c>
      <c r="AG269" s="6">
        <v>366637</v>
      </c>
      <c r="AH269" s="6">
        <v>381305</v>
      </c>
      <c r="AI269" s="6">
        <v>387351</v>
      </c>
      <c r="AJ269" s="6">
        <v>390201</v>
      </c>
      <c r="AK269" s="6">
        <v>387421</v>
      </c>
      <c r="AL269" s="6">
        <v>374522</v>
      </c>
      <c r="AM269" s="6">
        <v>379481</v>
      </c>
      <c r="AN269" s="6">
        <v>365378</v>
      </c>
      <c r="AO269" s="6">
        <v>322862</v>
      </c>
      <c r="AP269" s="6">
        <v>321147</v>
      </c>
      <c r="AQ269" s="6">
        <v>309201</v>
      </c>
    </row>
    <row r="270" spans="1:45" s="5" customFormat="1" x14ac:dyDescent="0.2">
      <c r="A270" s="23" t="s">
        <v>181</v>
      </c>
      <c r="B270" s="4">
        <f t="shared" si="175"/>
        <v>118100</v>
      </c>
      <c r="C270" s="4">
        <f t="shared" si="176"/>
        <v>117112</v>
      </c>
      <c r="D270" s="4">
        <f t="shared" si="177"/>
        <v>118745</v>
      </c>
      <c r="E270" s="4">
        <f t="shared" si="178"/>
        <v>103797</v>
      </c>
      <c r="F270" s="4">
        <f t="shared" si="179"/>
        <v>115078</v>
      </c>
      <c r="V270" s="6">
        <v>29611</v>
      </c>
      <c r="W270" s="6">
        <v>29891</v>
      </c>
      <c r="X270" s="6">
        <v>31971</v>
      </c>
      <c r="Y270" s="6">
        <v>26627</v>
      </c>
      <c r="Z270" s="6">
        <v>29552</v>
      </c>
      <c r="AA270" s="6">
        <v>27870</v>
      </c>
      <c r="AB270" s="6">
        <v>29374</v>
      </c>
      <c r="AC270" s="6">
        <v>30316</v>
      </c>
      <c r="AD270" s="6">
        <v>31998</v>
      </c>
      <c r="AE270" s="6">
        <v>30262</v>
      </c>
      <c r="AF270" s="6">
        <v>32200</v>
      </c>
      <c r="AG270" s="6">
        <v>24285</v>
      </c>
      <c r="AH270" s="6">
        <v>26211</v>
      </c>
      <c r="AI270" s="6">
        <v>25353</v>
      </c>
      <c r="AJ270" s="6">
        <v>26512</v>
      </c>
      <c r="AK270" s="6">
        <v>25721</v>
      </c>
      <c r="AL270" s="6">
        <v>28210</v>
      </c>
      <c r="AM270" s="6">
        <v>29453</v>
      </c>
      <c r="AN270" s="6">
        <v>28324</v>
      </c>
      <c r="AO270" s="6">
        <v>29091</v>
      </c>
      <c r="AP270" s="6">
        <v>29516</v>
      </c>
      <c r="AQ270" s="6">
        <v>30037</v>
      </c>
    </row>
    <row r="271" spans="1:45" x14ac:dyDescent="0.2">
      <c r="A271" s="21" t="s">
        <v>182</v>
      </c>
      <c r="B271" s="7">
        <f>SUM(V271,W271,X271,Y271)</f>
        <v>1092631</v>
      </c>
      <c r="C271" s="7">
        <f>SUM(Z271:AC271)</f>
        <v>1119268</v>
      </c>
      <c r="D271" s="7">
        <f t="shared" si="177"/>
        <v>1450291</v>
      </c>
      <c r="E271" s="7">
        <f t="shared" si="178"/>
        <v>1650075</v>
      </c>
      <c r="F271" s="7">
        <f t="shared" si="179"/>
        <v>1557321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7">
        <f>SUM(V269:V270)</f>
        <v>288314</v>
      </c>
      <c r="W271" s="7">
        <f>SUM(W269:W270)</f>
        <v>265058</v>
      </c>
      <c r="X271" s="7">
        <f>SUM(X269:X270)</f>
        <v>274498</v>
      </c>
      <c r="Y271" s="7">
        <f t="shared" ref="Y271:AS271" si="180">SUM(Y269:Y270)</f>
        <v>264761</v>
      </c>
      <c r="Z271" s="7">
        <f t="shared" si="180"/>
        <v>278820</v>
      </c>
      <c r="AA271" s="7">
        <f t="shared" si="180"/>
        <v>269462</v>
      </c>
      <c r="AB271" s="7">
        <f t="shared" si="180"/>
        <v>269872</v>
      </c>
      <c r="AC271" s="7">
        <f t="shared" si="180"/>
        <v>301114</v>
      </c>
      <c r="AD271" s="7">
        <f t="shared" si="180"/>
        <v>313468</v>
      </c>
      <c r="AE271" s="7">
        <f t="shared" si="180"/>
        <v>360930</v>
      </c>
      <c r="AF271" s="7">
        <f t="shared" si="180"/>
        <v>384971</v>
      </c>
      <c r="AG271" s="7">
        <f t="shared" si="180"/>
        <v>390922</v>
      </c>
      <c r="AH271" s="7">
        <f t="shared" si="180"/>
        <v>407516</v>
      </c>
      <c r="AI271" s="7">
        <f t="shared" si="180"/>
        <v>412704</v>
      </c>
      <c r="AJ271" s="7">
        <f t="shared" si="180"/>
        <v>416713</v>
      </c>
      <c r="AK271" s="7">
        <f t="shared" si="180"/>
        <v>413142</v>
      </c>
      <c r="AL271" s="7">
        <f t="shared" si="180"/>
        <v>402732</v>
      </c>
      <c r="AM271" s="7">
        <f t="shared" si="180"/>
        <v>408934</v>
      </c>
      <c r="AN271" s="7">
        <f t="shared" si="180"/>
        <v>393702</v>
      </c>
      <c r="AO271" s="7">
        <f t="shared" si="180"/>
        <v>351953</v>
      </c>
      <c r="AP271" s="7">
        <f t="shared" si="180"/>
        <v>350663</v>
      </c>
      <c r="AQ271" s="7">
        <f t="shared" si="180"/>
        <v>339238</v>
      </c>
      <c r="AR271" s="7">
        <f t="shared" si="180"/>
        <v>0</v>
      </c>
      <c r="AS271" s="7">
        <f t="shared" si="180"/>
        <v>0</v>
      </c>
    </row>
    <row r="272" spans="1:45" x14ac:dyDescent="0.2">
      <c r="A272" s="22" t="s">
        <v>183</v>
      </c>
      <c r="Z272" s="35">
        <f>(Z271-V271)/V271</f>
        <v>-3.2929375611312664E-2</v>
      </c>
      <c r="AA272" s="35">
        <f t="shared" ref="AA272" si="181">(AA271-W271)/W271</f>
        <v>1.6615231383319877E-2</v>
      </c>
      <c r="AB272" s="35">
        <f t="shared" ref="AB272" si="182">(AB271-X271)/X271</f>
        <v>-1.6852581803874708E-2</v>
      </c>
      <c r="AC272" s="35">
        <f t="shared" ref="AC272" si="183">(AC271-Y271)/Y271</f>
        <v>0.13730496561049399</v>
      </c>
      <c r="AD272" s="35">
        <f t="shared" ref="AD272" si="184">(AD271-Z271)/Z271</f>
        <v>0.1242665518972814</v>
      </c>
      <c r="AE272" s="35">
        <f t="shared" ref="AE272" si="185">(AE271-AA271)/AA271</f>
        <v>0.33944674944890191</v>
      </c>
      <c r="AF272" s="35">
        <f t="shared" ref="AF272" si="186">(AF271-AB271)/AB271</f>
        <v>0.42649478271180413</v>
      </c>
      <c r="AG272" s="35">
        <f t="shared" ref="AG272" si="187">(AG271-AC271)/AC271</f>
        <v>0.29825248909051055</v>
      </c>
      <c r="AH272" s="35">
        <f t="shared" ref="AH272" si="188">(AH271-AD271)/AD271</f>
        <v>0.30002424489900087</v>
      </c>
      <c r="AI272" s="35">
        <f t="shared" ref="AI272" si="189">(AI271-AE271)/AE271</f>
        <v>0.14344609758124843</v>
      </c>
      <c r="AJ272" s="35">
        <f t="shared" ref="AJ272" si="190">(AJ271-AF271)/AF271</f>
        <v>8.2452963989495309E-2</v>
      </c>
      <c r="AK272" s="35">
        <f t="shared" ref="AK272" si="191">(AK271-AG271)/AG271</f>
        <v>5.6839983423803211E-2</v>
      </c>
      <c r="AL272" s="35">
        <f t="shared" ref="AL272" si="192">(AL271-AH271)/AH271</f>
        <v>-1.1739416366473954E-2</v>
      </c>
      <c r="AM272" s="35">
        <f t="shared" ref="AM272" si="193">(AM271-AI271)/AI271</f>
        <v>-9.1348763278281779E-3</v>
      </c>
      <c r="AN272" s="35">
        <f t="shared" ref="AN272" si="194">(AN271-AJ271)/AJ271</f>
        <v>-5.5220259507142808E-2</v>
      </c>
      <c r="AO272" s="35">
        <f t="shared" ref="AO272" si="195">(AO271-AK271)/AK271</f>
        <v>-0.14810646218491463</v>
      </c>
      <c r="AP272" s="35">
        <f t="shared" ref="AP272" si="196">(AP271-AL271)/AL271</f>
        <v>-0.12928945303576572</v>
      </c>
      <c r="AQ272" s="35">
        <f t="shared" ref="AQ272" si="197">(AQ271-AM271)/AM271</f>
        <v>-0.17043337066617106</v>
      </c>
    </row>
    <row r="273" spans="1:45" s="8" customFormat="1" x14ac:dyDescent="0.2">
      <c r="A273" s="22" t="s">
        <v>184</v>
      </c>
      <c r="B273" s="8">
        <f>B271/B10</f>
        <v>0.55139606332749957</v>
      </c>
      <c r="C273" s="8">
        <f>C271/C10</f>
        <v>0.62335177136543174</v>
      </c>
      <c r="D273" s="8">
        <f>D271/D10</f>
        <v>0.66721981125608598</v>
      </c>
      <c r="E273" s="8">
        <f>E271/E10</f>
        <v>0.67602834601409267</v>
      </c>
      <c r="F273" s="8">
        <f>F271/F10</f>
        <v>0.6578763717718108</v>
      </c>
      <c r="V273" s="8">
        <f t="shared" ref="V273:AS273" si="198">V271/V10</f>
        <v>0.55490459491814448</v>
      </c>
      <c r="W273" s="8">
        <f t="shared" si="198"/>
        <v>0.54158459539202142</v>
      </c>
      <c r="X273" s="8">
        <f t="shared" si="198"/>
        <v>0.56370995730559048</v>
      </c>
      <c r="Y273" s="8">
        <f t="shared" si="198"/>
        <v>0.54518292469478236</v>
      </c>
      <c r="Z273" s="8">
        <f t="shared" si="198"/>
        <v>0.58658071954069901</v>
      </c>
      <c r="AA273" s="8">
        <f t="shared" si="198"/>
        <v>0.62392505360260442</v>
      </c>
      <c r="AB273" s="8">
        <f t="shared" si="198"/>
        <v>0.64123936701040729</v>
      </c>
      <c r="AC273" s="8">
        <f t="shared" si="198"/>
        <v>0.6441065175586268</v>
      </c>
      <c r="AD273" s="8">
        <f t="shared" si="198"/>
        <v>0.63375776862144118</v>
      </c>
      <c r="AE273" s="8">
        <f t="shared" si="198"/>
        <v>0.66706710776794131</v>
      </c>
      <c r="AF273" s="8">
        <f t="shared" si="198"/>
        <v>0.68650182248757075</v>
      </c>
      <c r="AG273" s="8">
        <f t="shared" si="198"/>
        <v>0.67730472492649518</v>
      </c>
      <c r="AH273" s="8">
        <f t="shared" si="198"/>
        <v>0.67531925189164821</v>
      </c>
      <c r="AI273" s="8">
        <f t="shared" si="198"/>
        <v>0.67759810464824177</v>
      </c>
      <c r="AJ273" s="8">
        <f t="shared" si="198"/>
        <v>0.67707348300951153</v>
      </c>
      <c r="AK273" s="8">
        <f t="shared" si="198"/>
        <v>0.6741169329573935</v>
      </c>
      <c r="AL273" s="8">
        <f t="shared" si="198"/>
        <v>0.66331439790101643</v>
      </c>
      <c r="AM273" s="8">
        <f t="shared" si="198"/>
        <v>0.67396223554249535</v>
      </c>
      <c r="AN273" s="8">
        <f t="shared" si="198"/>
        <v>0.67690006447453255</v>
      </c>
      <c r="AO273" s="8">
        <f t="shared" si="198"/>
        <v>0.61567163526380331</v>
      </c>
      <c r="AP273" s="8">
        <f t="shared" si="198"/>
        <v>0.59739992027012756</v>
      </c>
      <c r="AQ273" s="8">
        <f t="shared" si="198"/>
        <v>0.60265907742377889</v>
      </c>
      <c r="AR273" s="8" t="e">
        <f t="shared" si="198"/>
        <v>#DIV/0!</v>
      </c>
      <c r="AS273" s="8" t="e">
        <f t="shared" si="198"/>
        <v>#DIV/0!</v>
      </c>
    </row>
    <row r="274" spans="1:45" s="8" customFormat="1" x14ac:dyDescent="0.2">
      <c r="A274" s="22" t="s">
        <v>185</v>
      </c>
      <c r="B274" s="8">
        <f>B270/B271</f>
        <v>0.10808772586536534</v>
      </c>
      <c r="C274" s="8">
        <f>C270/C271</f>
        <v>0.10463267063831004</v>
      </c>
      <c r="D274" s="8">
        <f>D270/D271</f>
        <v>8.18766716472763E-2</v>
      </c>
      <c r="E274" s="8">
        <f>E270/E271</f>
        <v>6.2904413435752926E-2</v>
      </c>
      <c r="F274" s="8">
        <f>F270/F271</f>
        <v>7.3894848910404473E-2</v>
      </c>
      <c r="V274" s="8">
        <f>V270/V271</f>
        <v>0.10270399633732666</v>
      </c>
      <c r="W274" s="8">
        <f>W270/W271</f>
        <v>0.11277154434123852</v>
      </c>
      <c r="X274" s="8">
        <f>X270/X271</f>
        <v>0.11647079395842592</v>
      </c>
      <c r="Y274" s="8">
        <f t="shared" ref="Y274:AS274" si="199">Y270/Y271</f>
        <v>0.10056994799082947</v>
      </c>
      <c r="Z274" s="8">
        <f t="shared" si="199"/>
        <v>0.10598952729359444</v>
      </c>
      <c r="AA274" s="8">
        <f t="shared" si="199"/>
        <v>0.1034283127119965</v>
      </c>
      <c r="AB274" s="8">
        <f t="shared" si="199"/>
        <v>0.10884419280251378</v>
      </c>
      <c r="AC274" s="8">
        <f t="shared" si="199"/>
        <v>0.10067947687586762</v>
      </c>
      <c r="AD274" s="8">
        <f t="shared" si="199"/>
        <v>0.10207740503017852</v>
      </c>
      <c r="AE274" s="8">
        <f t="shared" si="199"/>
        <v>8.3844512786412875E-2</v>
      </c>
      <c r="AF274" s="8">
        <f t="shared" si="199"/>
        <v>8.3642663992872193E-2</v>
      </c>
      <c r="AG274" s="8">
        <f t="shared" si="199"/>
        <v>6.2122367121829933E-2</v>
      </c>
      <c r="AH274" s="8">
        <f t="shared" si="199"/>
        <v>6.431894698613061E-2</v>
      </c>
      <c r="AI274" s="8">
        <f t="shared" si="199"/>
        <v>6.1431437543614797E-2</v>
      </c>
      <c r="AJ274" s="8">
        <f t="shared" si="199"/>
        <v>6.3621725264150622E-2</v>
      </c>
      <c r="AK274" s="8">
        <f t="shared" si="199"/>
        <v>6.2257044793315612E-2</v>
      </c>
      <c r="AL274" s="8">
        <f t="shared" si="199"/>
        <v>7.004658184599187E-2</v>
      </c>
      <c r="AM274" s="8">
        <f t="shared" si="199"/>
        <v>7.2023847369013086E-2</v>
      </c>
      <c r="AN274" s="8">
        <f t="shared" si="199"/>
        <v>7.1942738416365684E-2</v>
      </c>
      <c r="AO274" s="8">
        <f t="shared" si="199"/>
        <v>8.2655922807874913E-2</v>
      </c>
      <c r="AP274" s="8">
        <f t="shared" si="199"/>
        <v>8.4171982786892252E-2</v>
      </c>
      <c r="AQ274" s="8">
        <f t="shared" si="199"/>
        <v>8.8542557142772926E-2</v>
      </c>
      <c r="AR274" s="8" t="e">
        <f t="shared" si="199"/>
        <v>#DIV/0!</v>
      </c>
      <c r="AS274" s="8" t="e">
        <f t="shared" si="199"/>
        <v>#DIV/0!</v>
      </c>
    </row>
    <row r="275" spans="1:45" s="5" customFormat="1" x14ac:dyDescent="0.2">
      <c r="A275" s="23" t="s">
        <v>256</v>
      </c>
      <c r="B275" s="4">
        <f t="shared" ref="B275" si="200">SUM(V275,W275,X275,Y275)</f>
        <v>378633</v>
      </c>
      <c r="C275" s="4">
        <f t="shared" ref="C275" si="201">SUM(Z275:AC275)</f>
        <v>361975</v>
      </c>
      <c r="D275" s="4">
        <f t="shared" ref="D275" si="202">SUM(AD275:AG275)</f>
        <v>499725</v>
      </c>
      <c r="E275" s="4">
        <f t="shared" ref="E275" si="203">SUM(AH275:AK275)</f>
        <v>597780</v>
      </c>
      <c r="F275" s="4">
        <f t="shared" ref="F275" si="204">SUM(AL275:AO275)</f>
        <v>608576</v>
      </c>
      <c r="V275" s="6">
        <v>112759</v>
      </c>
      <c r="W275" s="6">
        <v>95953</v>
      </c>
      <c r="X275" s="6">
        <v>89915</v>
      </c>
      <c r="Y275" s="6">
        <v>80006</v>
      </c>
      <c r="Z275" s="6">
        <v>91351</v>
      </c>
      <c r="AA275" s="6">
        <v>89909</v>
      </c>
      <c r="AB275" s="6">
        <v>81895</v>
      </c>
      <c r="AC275" s="6">
        <v>98820</v>
      </c>
      <c r="AD275" s="6">
        <v>105776</v>
      </c>
      <c r="AE275" s="6">
        <v>121873</v>
      </c>
      <c r="AF275" s="6">
        <v>135203</v>
      </c>
      <c r="AG275" s="6">
        <v>136873</v>
      </c>
      <c r="AH275" s="6">
        <v>151025</v>
      </c>
      <c r="AI275" s="6">
        <v>152157</v>
      </c>
      <c r="AJ275" s="6">
        <v>149648</v>
      </c>
      <c r="AK275" s="6">
        <v>144950</v>
      </c>
      <c r="AL275" s="6">
        <v>148714</v>
      </c>
      <c r="AM275" s="6">
        <v>157243</v>
      </c>
      <c r="AN275" s="6">
        <v>154761</v>
      </c>
      <c r="AO275" s="6">
        <v>147858</v>
      </c>
      <c r="AP275" s="6">
        <v>143073</v>
      </c>
      <c r="AQ275" s="6">
        <v>145154</v>
      </c>
    </row>
    <row r="276" spans="1:45" s="8" customFormat="1" x14ac:dyDescent="0.2">
      <c r="A276" s="22" t="s">
        <v>257</v>
      </c>
      <c r="B276" s="8">
        <f>B275/B271</f>
        <v>0.34653327610144685</v>
      </c>
      <c r="C276" s="8">
        <f>C275/C271</f>
        <v>0.32340333146306338</v>
      </c>
      <c r="D276" s="8">
        <f>D275/D271</f>
        <v>0.34456877964491262</v>
      </c>
      <c r="E276" s="8">
        <f>E275/E271</f>
        <v>0.36227444207081494</v>
      </c>
      <c r="F276" s="8">
        <f>F275/F271</f>
        <v>0.39078391673906665</v>
      </c>
      <c r="V276" s="8">
        <f>V275/V271</f>
        <v>0.39109790020602536</v>
      </c>
      <c r="W276" s="8">
        <f>W275/W271</f>
        <v>0.36200756060937606</v>
      </c>
      <c r="X276" s="8">
        <f>X275/X271</f>
        <v>0.32756158514816136</v>
      </c>
      <c r="Y276" s="8">
        <f t="shared" ref="Y276:AS276" si="205">Y275/Y271</f>
        <v>0.30218196788801976</v>
      </c>
      <c r="Z276" s="8">
        <f t="shared" si="205"/>
        <v>0.3276343160461947</v>
      </c>
      <c r="AA276" s="8">
        <f t="shared" si="205"/>
        <v>0.33366114702629684</v>
      </c>
      <c r="AB276" s="8">
        <f t="shared" si="205"/>
        <v>0.30345867670599397</v>
      </c>
      <c r="AC276" s="8">
        <f t="shared" si="205"/>
        <v>0.32818135324162939</v>
      </c>
      <c r="AD276" s="8">
        <f t="shared" si="205"/>
        <v>0.33743795219926753</v>
      </c>
      <c r="AE276" s="8">
        <f t="shared" si="205"/>
        <v>0.33766381292771452</v>
      </c>
      <c r="AF276" s="8">
        <f t="shared" si="205"/>
        <v>0.35120307763441921</v>
      </c>
      <c r="AG276" s="8">
        <f t="shared" si="205"/>
        <v>0.35012867016949673</v>
      </c>
      <c r="AH276" s="8">
        <f t="shared" si="205"/>
        <v>0.37059894580826275</v>
      </c>
      <c r="AI276" s="8">
        <f t="shared" si="205"/>
        <v>0.36868312398232145</v>
      </c>
      <c r="AJ276" s="8">
        <f t="shared" si="205"/>
        <v>0.35911526638237828</v>
      </c>
      <c r="AK276" s="8">
        <f t="shared" si="205"/>
        <v>0.35084789249216974</v>
      </c>
      <c r="AL276" s="8">
        <f t="shared" si="205"/>
        <v>0.3692629341596893</v>
      </c>
      <c r="AM276" s="8">
        <f t="shared" si="205"/>
        <v>0.38451926227704225</v>
      </c>
      <c r="AN276" s="8">
        <f t="shared" si="205"/>
        <v>0.39309172927747382</v>
      </c>
      <c r="AO276" s="8">
        <f t="shared" si="205"/>
        <v>0.42010723022676322</v>
      </c>
      <c r="AP276" s="8">
        <f t="shared" si="205"/>
        <v>0.4080071179451496</v>
      </c>
      <c r="AQ276" s="8">
        <f t="shared" si="205"/>
        <v>0.42788248957958719</v>
      </c>
      <c r="AR276" s="8" t="e">
        <f t="shared" si="205"/>
        <v>#DIV/0!</v>
      </c>
      <c r="AS276" s="8" t="e">
        <f t="shared" si="205"/>
        <v>#DIV/0!</v>
      </c>
    </row>
    <row r="277" spans="1:45" s="5" customFormat="1" x14ac:dyDescent="0.2">
      <c r="A277" s="21" t="s">
        <v>186</v>
      </c>
      <c r="B277" s="7">
        <f>SUM(V277,W277,X277,Y277)</f>
        <v>254434</v>
      </c>
      <c r="C277" s="7">
        <f>SUM(Z277:AC277)</f>
        <v>248268</v>
      </c>
      <c r="D277" s="7">
        <f t="shared" ref="D277" si="206">SUM(AD277:AG277)</f>
        <v>368921</v>
      </c>
      <c r="E277" s="7">
        <f t="shared" ref="E277" si="207">SUM(AH277:AK277)</f>
        <v>456662</v>
      </c>
      <c r="F277" s="7">
        <f t="shared" ref="F277" si="208">SUM(AL277:AO277)</f>
        <v>472400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3">
        <v>79291</v>
      </c>
      <c r="W277" s="13">
        <v>64630</v>
      </c>
      <c r="X277" s="13">
        <v>61150</v>
      </c>
      <c r="Y277" s="13">
        <v>49363</v>
      </c>
      <c r="Z277" s="13">
        <v>61007</v>
      </c>
      <c r="AA277" s="13">
        <v>62282</v>
      </c>
      <c r="AB277" s="13">
        <v>54640</v>
      </c>
      <c r="AC277" s="13">
        <v>70339</v>
      </c>
      <c r="AD277" s="13">
        <v>74956</v>
      </c>
      <c r="AE277" s="13">
        <v>88593</v>
      </c>
      <c r="AF277" s="13">
        <v>102503</v>
      </c>
      <c r="AG277" s="13">
        <v>102869</v>
      </c>
      <c r="AH277" s="13">
        <v>116678</v>
      </c>
      <c r="AI277" s="13">
        <v>117444</v>
      </c>
      <c r="AJ277" s="13">
        <v>115231</v>
      </c>
      <c r="AK277" s="13">
        <v>107309</v>
      </c>
      <c r="AL277" s="13">
        <v>116109</v>
      </c>
      <c r="AM277" s="13">
        <v>120999</v>
      </c>
      <c r="AN277" s="13">
        <v>121880</v>
      </c>
      <c r="AO277" s="13">
        <v>113412</v>
      </c>
      <c r="AP277" s="13">
        <v>110136</v>
      </c>
      <c r="AQ277" s="13">
        <v>112061</v>
      </c>
      <c r="AR277" s="12"/>
      <c r="AS277" s="12"/>
    </row>
    <row r="278" spans="1:45" s="8" customFormat="1" x14ac:dyDescent="0.2">
      <c r="A278" s="22" t="s">
        <v>187</v>
      </c>
      <c r="B278" s="8">
        <f>B277/B271</f>
        <v>0.23286361086222154</v>
      </c>
      <c r="C278" s="8">
        <f>C277/C271</f>
        <v>0.22181282766951257</v>
      </c>
      <c r="D278" s="8">
        <f>D277/D271</f>
        <v>0.2543772249845031</v>
      </c>
      <c r="E278" s="8">
        <f>E277/E271</f>
        <v>0.27675226883626503</v>
      </c>
      <c r="F278" s="8">
        <f>F277/F271</f>
        <v>0.30334144341468455</v>
      </c>
      <c r="V278" s="8">
        <f t="shared" ref="V278:AS278" si="209">V277/V271</f>
        <v>0.2750161282490618</v>
      </c>
      <c r="W278" s="8">
        <f t="shared" si="209"/>
        <v>0.24383342513713979</v>
      </c>
      <c r="X278" s="8">
        <f t="shared" si="209"/>
        <v>0.22277029340833085</v>
      </c>
      <c r="Y278" s="8">
        <f t="shared" si="209"/>
        <v>0.18644362273899856</v>
      </c>
      <c r="Z278" s="8">
        <f t="shared" si="209"/>
        <v>0.21880424646725485</v>
      </c>
      <c r="AA278" s="8">
        <f t="shared" si="209"/>
        <v>0.23113463122815092</v>
      </c>
      <c r="AB278" s="8">
        <f t="shared" si="209"/>
        <v>0.20246635441987312</v>
      </c>
      <c r="AC278" s="8">
        <f t="shared" si="209"/>
        <v>0.23359591383994102</v>
      </c>
      <c r="AD278" s="8">
        <f t="shared" si="209"/>
        <v>0.23911850651422153</v>
      </c>
      <c r="AE278" s="8">
        <f t="shared" si="209"/>
        <v>0.24545756794946388</v>
      </c>
      <c r="AF278" s="8">
        <f t="shared" si="209"/>
        <v>0.26626161451122293</v>
      </c>
      <c r="AG278" s="8">
        <f t="shared" si="209"/>
        <v>0.26314456592363694</v>
      </c>
      <c r="AH278" s="8">
        <f t="shared" si="209"/>
        <v>0.28631513854670737</v>
      </c>
      <c r="AI278" s="8">
        <f t="shared" si="209"/>
        <v>0.28457199348685741</v>
      </c>
      <c r="AJ278" s="8">
        <f t="shared" si="209"/>
        <v>0.27652365057005662</v>
      </c>
      <c r="AK278" s="8">
        <f t="shared" si="209"/>
        <v>0.25973878230729386</v>
      </c>
      <c r="AL278" s="8">
        <f t="shared" si="209"/>
        <v>0.28830338786090998</v>
      </c>
      <c r="AM278" s="8">
        <f t="shared" si="209"/>
        <v>0.29588882313527365</v>
      </c>
      <c r="AN278" s="8">
        <f t="shared" si="209"/>
        <v>0.30957424651132076</v>
      </c>
      <c r="AO278" s="8">
        <f t="shared" si="209"/>
        <v>0.32223620767545669</v>
      </c>
      <c r="AP278" s="8">
        <f t="shared" si="209"/>
        <v>0.31407932972683172</v>
      </c>
      <c r="AQ278" s="8">
        <f t="shared" si="209"/>
        <v>0.33033150767307906</v>
      </c>
      <c r="AR278" s="8" t="e">
        <f t="shared" si="209"/>
        <v>#DIV/0!</v>
      </c>
      <c r="AS278" s="8" t="e">
        <f t="shared" si="209"/>
        <v>#DIV/0!</v>
      </c>
    </row>
    <row r="280" spans="1:45" x14ac:dyDescent="0.2">
      <c r="A280" s="19" t="s">
        <v>189</v>
      </c>
    </row>
    <row r="281" spans="1:45" s="5" customFormat="1" x14ac:dyDescent="0.2">
      <c r="A281" s="23" t="s">
        <v>180</v>
      </c>
      <c r="B281" s="4">
        <f t="shared" ref="B281:B282" si="210">SUM(V281,W281,X281,Y281)</f>
        <v>68561</v>
      </c>
      <c r="C281" s="4">
        <f t="shared" ref="C281:C282" si="211">SUM(Z281:AC281)</f>
        <v>64733</v>
      </c>
      <c r="D281" s="4">
        <f t="shared" ref="D281:D283" si="212">SUM(AD281:AG281)</f>
        <v>79225</v>
      </c>
      <c r="E281" s="4">
        <f t="shared" ref="E281:E283" si="213">SUM(AH281:AK281)</f>
        <v>111772</v>
      </c>
      <c r="F281" s="4">
        <f t="shared" ref="F281:F283" si="214">SUM(AL281:AO281)</f>
        <v>122135</v>
      </c>
      <c r="V281" s="6">
        <v>13770</v>
      </c>
      <c r="W281" s="6">
        <v>15905</v>
      </c>
      <c r="X281" s="6">
        <v>18590</v>
      </c>
      <c r="Y281" s="6">
        <v>20296</v>
      </c>
      <c r="Z281" s="6">
        <v>12656</v>
      </c>
      <c r="AA281" s="6">
        <v>14873</v>
      </c>
      <c r="AB281" s="6">
        <v>14400</v>
      </c>
      <c r="AC281" s="6">
        <v>22804</v>
      </c>
      <c r="AD281" s="6">
        <v>17403</v>
      </c>
      <c r="AE281" s="6">
        <v>21626</v>
      </c>
      <c r="AF281" s="6">
        <v>17446</v>
      </c>
      <c r="AG281" s="6">
        <v>22750</v>
      </c>
      <c r="AH281" s="6">
        <v>20609</v>
      </c>
      <c r="AI281" s="6">
        <v>27627</v>
      </c>
      <c r="AJ281" s="6">
        <v>25929</v>
      </c>
      <c r="AK281" s="6">
        <v>37607</v>
      </c>
      <c r="AL281" s="6">
        <v>23232</v>
      </c>
      <c r="AM281" s="6">
        <v>25764</v>
      </c>
      <c r="AN281" s="6">
        <v>25848</v>
      </c>
      <c r="AO281" s="6">
        <v>47291</v>
      </c>
      <c r="AP281" s="6">
        <v>31872</v>
      </c>
      <c r="AQ281" s="6">
        <v>32883</v>
      </c>
    </row>
    <row r="282" spans="1:45" s="5" customFormat="1" x14ac:dyDescent="0.2">
      <c r="A282" s="23" t="s">
        <v>181</v>
      </c>
      <c r="B282" s="4">
        <f t="shared" si="210"/>
        <v>175276</v>
      </c>
      <c r="C282" s="4">
        <f t="shared" si="211"/>
        <v>172853</v>
      </c>
      <c r="D282" s="4">
        <f t="shared" si="212"/>
        <v>188391</v>
      </c>
      <c r="E282" s="4">
        <f t="shared" si="213"/>
        <v>202413</v>
      </c>
      <c r="F282" s="4">
        <f t="shared" si="214"/>
        <v>237608</v>
      </c>
      <c r="V282" s="6">
        <v>44709</v>
      </c>
      <c r="W282" s="6">
        <v>45482</v>
      </c>
      <c r="X282" s="6">
        <v>41627</v>
      </c>
      <c r="Y282" s="6">
        <v>43458</v>
      </c>
      <c r="Z282" s="6">
        <v>44290</v>
      </c>
      <c r="AA282" s="6">
        <v>42737</v>
      </c>
      <c r="AB282" s="6">
        <v>42585</v>
      </c>
      <c r="AC282" s="6">
        <v>43241</v>
      </c>
      <c r="AD282" s="6">
        <v>45493</v>
      </c>
      <c r="AE282" s="6">
        <v>45354</v>
      </c>
      <c r="AF282" s="6">
        <v>47586</v>
      </c>
      <c r="AG282" s="6">
        <v>49958</v>
      </c>
      <c r="AH282" s="6">
        <v>48565</v>
      </c>
      <c r="AI282" s="6">
        <v>50188</v>
      </c>
      <c r="AJ282" s="6">
        <v>50082</v>
      </c>
      <c r="AK282" s="6">
        <v>53578</v>
      </c>
      <c r="AL282" s="6">
        <v>55316</v>
      </c>
      <c r="AM282" s="6">
        <v>59303</v>
      </c>
      <c r="AN282" s="6">
        <v>58453</v>
      </c>
      <c r="AO282" s="6">
        <v>64536</v>
      </c>
      <c r="AP282" s="6">
        <v>64038</v>
      </c>
      <c r="AQ282" s="6">
        <v>63516</v>
      </c>
    </row>
    <row r="283" spans="1:45" x14ac:dyDescent="0.2">
      <c r="A283" s="21" t="s">
        <v>182</v>
      </c>
      <c r="B283" s="7">
        <f>SUM(V283,W283,X283,Y283)</f>
        <v>243837</v>
      </c>
      <c r="C283" s="7">
        <f>SUM(Z283:AC283)</f>
        <v>237586</v>
      </c>
      <c r="D283" s="7">
        <f t="shared" si="212"/>
        <v>267616</v>
      </c>
      <c r="E283" s="7">
        <f t="shared" si="213"/>
        <v>314185</v>
      </c>
      <c r="F283" s="7">
        <f t="shared" si="214"/>
        <v>359743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7">
        <f>SUM(V281:V282)</f>
        <v>58479</v>
      </c>
      <c r="W283" s="7">
        <f>SUM(W281:W282)</f>
        <v>61387</v>
      </c>
      <c r="X283" s="7">
        <f>SUM(X281:X282)</f>
        <v>60217</v>
      </c>
      <c r="Y283" s="7">
        <f t="shared" ref="Y283:AS283" si="215">SUM(Y281:Y282)</f>
        <v>63754</v>
      </c>
      <c r="Z283" s="7">
        <f t="shared" si="215"/>
        <v>56946</v>
      </c>
      <c r="AA283" s="7">
        <f t="shared" si="215"/>
        <v>57610</v>
      </c>
      <c r="AB283" s="7">
        <f t="shared" si="215"/>
        <v>56985</v>
      </c>
      <c r="AC283" s="7">
        <f t="shared" si="215"/>
        <v>66045</v>
      </c>
      <c r="AD283" s="7">
        <f t="shared" si="215"/>
        <v>62896</v>
      </c>
      <c r="AE283" s="7">
        <f t="shared" si="215"/>
        <v>66980</v>
      </c>
      <c r="AF283" s="7">
        <f t="shared" si="215"/>
        <v>65032</v>
      </c>
      <c r="AG283" s="7">
        <f t="shared" si="215"/>
        <v>72708</v>
      </c>
      <c r="AH283" s="7">
        <f t="shared" si="215"/>
        <v>69174</v>
      </c>
      <c r="AI283" s="7">
        <f t="shared" si="215"/>
        <v>77815</v>
      </c>
      <c r="AJ283" s="7">
        <f t="shared" si="215"/>
        <v>76011</v>
      </c>
      <c r="AK283" s="7">
        <f t="shared" si="215"/>
        <v>91185</v>
      </c>
      <c r="AL283" s="7">
        <f t="shared" si="215"/>
        <v>78548</v>
      </c>
      <c r="AM283" s="7">
        <f t="shared" si="215"/>
        <v>85067</v>
      </c>
      <c r="AN283" s="7">
        <f t="shared" si="215"/>
        <v>84301</v>
      </c>
      <c r="AO283" s="7">
        <f t="shared" si="215"/>
        <v>111827</v>
      </c>
      <c r="AP283" s="7">
        <f t="shared" si="215"/>
        <v>95910</v>
      </c>
      <c r="AQ283" s="7">
        <f t="shared" si="215"/>
        <v>96399</v>
      </c>
      <c r="AR283" s="7">
        <f t="shared" si="215"/>
        <v>0</v>
      </c>
      <c r="AS283" s="7">
        <f t="shared" si="215"/>
        <v>0</v>
      </c>
    </row>
    <row r="284" spans="1:45" x14ac:dyDescent="0.2">
      <c r="A284" s="22" t="s">
        <v>183</v>
      </c>
      <c r="Z284" s="35">
        <f>(Z283-V283)/V283</f>
        <v>-2.6214538552300826E-2</v>
      </c>
      <c r="AA284" s="35">
        <f t="shared" ref="AA284" si="216">(AA283-W283)/W283</f>
        <v>-6.1527685014742532E-2</v>
      </c>
      <c r="AB284" s="35">
        <f t="shared" ref="AB284" si="217">(AB283-X283)/X283</f>
        <v>-5.3672550940764237E-2</v>
      </c>
      <c r="AC284" s="35">
        <f t="shared" ref="AC284" si="218">(AC283-Y283)/Y283</f>
        <v>3.59350001568529E-2</v>
      </c>
      <c r="AD284" s="35">
        <f t="shared" ref="AD284" si="219">(AD283-Z283)/Z283</f>
        <v>0.1044849506550065</v>
      </c>
      <c r="AE284" s="35">
        <f t="shared" ref="AE284" si="220">(AE283-AA283)/AA283</f>
        <v>0.16264537406700225</v>
      </c>
      <c r="AF284" s="35">
        <f t="shared" ref="AF284" si="221">(AF283-AB283)/AB283</f>
        <v>0.14121259980696674</v>
      </c>
      <c r="AG284" s="35">
        <f t="shared" ref="AG284" si="222">(AG283-AC283)/AC283</f>
        <v>0.10088575970928912</v>
      </c>
      <c r="AH284" s="35">
        <f t="shared" ref="AH284" si="223">(AH283-AD283)/AD283</f>
        <v>9.9815568557618931E-2</v>
      </c>
      <c r="AI284" s="35">
        <f t="shared" ref="AI284" si="224">(AI283-AE283)/AE283</f>
        <v>0.16176470588235295</v>
      </c>
      <c r="AJ284" s="35">
        <f t="shared" ref="AJ284" si="225">(AJ283-AF283)/AF283</f>
        <v>0.16882457866896297</v>
      </c>
      <c r="AK284" s="35">
        <f t="shared" ref="AK284" si="226">(AK283-AG283)/AG283</f>
        <v>0.25412609341475489</v>
      </c>
      <c r="AL284" s="35">
        <f t="shared" ref="AL284" si="227">(AL283-AH283)/AH283</f>
        <v>0.13551334316361638</v>
      </c>
      <c r="AM284" s="35">
        <f t="shared" ref="AM284" si="228">(AM283-AI283)/AI283</f>
        <v>9.3195399344599375E-2</v>
      </c>
      <c r="AN284" s="35">
        <f t="shared" ref="AN284" si="229">(AN283-AJ283)/AJ283</f>
        <v>0.10906316191077607</v>
      </c>
      <c r="AO284" s="35">
        <f t="shared" ref="AO284" si="230">(AO283-AK283)/AK283</f>
        <v>0.22637495202061741</v>
      </c>
      <c r="AP284" s="35">
        <f t="shared" ref="AP284" si="231">(AP283-AL283)/AL283</f>
        <v>0.22103681825126037</v>
      </c>
      <c r="AQ284" s="35">
        <f t="shared" ref="AQ284" si="232">(AQ283-AM283)/AM283</f>
        <v>0.13321264415108092</v>
      </c>
    </row>
    <row r="285" spans="1:45" s="8" customFormat="1" x14ac:dyDescent="0.2">
      <c r="A285" s="22" t="s">
        <v>184</v>
      </c>
      <c r="B285" s="8">
        <f>B283/B10</f>
        <v>0.12305230392839624</v>
      </c>
      <c r="C285" s="8">
        <f>C283/C10</f>
        <v>0.13231831335446689</v>
      </c>
      <c r="D285" s="8">
        <f>D283/D10</f>
        <v>0.12311922021794848</v>
      </c>
      <c r="E285" s="8">
        <f>E283/E10</f>
        <v>0.12872018901712814</v>
      </c>
      <c r="F285" s="8">
        <f>F283/F10</f>
        <v>0.15197022297285309</v>
      </c>
      <c r="V285" s="8">
        <f t="shared" ref="V285:AS285" si="233">V283/V10</f>
        <v>0.1125518212997571</v>
      </c>
      <c r="W285" s="8">
        <f t="shared" si="233"/>
        <v>0.12543010796629425</v>
      </c>
      <c r="X285" s="8">
        <f t="shared" si="233"/>
        <v>0.12366182084776846</v>
      </c>
      <c r="Y285" s="8">
        <f t="shared" si="233"/>
        <v>0.13127912411945547</v>
      </c>
      <c r="Z285" s="8">
        <f t="shared" si="233"/>
        <v>0.11980283213171453</v>
      </c>
      <c r="AA285" s="8">
        <f t="shared" si="233"/>
        <v>0.13339291750987539</v>
      </c>
      <c r="AB285" s="8">
        <f t="shared" si="233"/>
        <v>0.13540132110440525</v>
      </c>
      <c r="AC285" s="8">
        <f t="shared" si="233"/>
        <v>0.1412754470139532</v>
      </c>
      <c r="AD285" s="8">
        <f t="shared" si="233"/>
        <v>0.12716075840345478</v>
      </c>
      <c r="AE285" s="8">
        <f t="shared" si="233"/>
        <v>0.12379174598480788</v>
      </c>
      <c r="AF285" s="8">
        <f t="shared" si="233"/>
        <v>0.11596870029174067</v>
      </c>
      <c r="AG285" s="8">
        <f t="shared" si="233"/>
        <v>0.12597262865726566</v>
      </c>
      <c r="AH285" s="8">
        <f t="shared" si="233"/>
        <v>0.11463239217687864</v>
      </c>
      <c r="AI285" s="8">
        <f t="shared" si="233"/>
        <v>0.12776056571587127</v>
      </c>
      <c r="AJ285" s="8">
        <f t="shared" si="233"/>
        <v>0.12350234458016904</v>
      </c>
      <c r="AK285" s="8">
        <f t="shared" si="233"/>
        <v>0.14878504855889724</v>
      </c>
      <c r="AL285" s="8">
        <f t="shared" si="233"/>
        <v>0.12937144137125689</v>
      </c>
      <c r="AM285" s="8">
        <f t="shared" si="233"/>
        <v>0.14019852956930323</v>
      </c>
      <c r="AN285" s="8">
        <f t="shared" si="233"/>
        <v>0.14494046851493661</v>
      </c>
      <c r="AO285" s="8">
        <f t="shared" si="233"/>
        <v>0.19561905128424911</v>
      </c>
      <c r="AP285" s="8">
        <f t="shared" si="233"/>
        <v>0.16339512966326053</v>
      </c>
      <c r="AQ285" s="8">
        <f t="shared" si="233"/>
        <v>0.17125361075284862</v>
      </c>
      <c r="AR285" s="8" t="e">
        <f t="shared" si="233"/>
        <v>#DIV/0!</v>
      </c>
      <c r="AS285" s="8" t="e">
        <f t="shared" si="233"/>
        <v>#DIV/0!</v>
      </c>
    </row>
    <row r="286" spans="1:45" s="8" customFormat="1" x14ac:dyDescent="0.2">
      <c r="A286" s="22" t="s">
        <v>185</v>
      </c>
      <c r="B286" s="8">
        <f>B282/B283</f>
        <v>0.71882446060277971</v>
      </c>
      <c r="C286" s="8">
        <f>C282/C283</f>
        <v>0.72753865968533504</v>
      </c>
      <c r="D286" s="8">
        <f>D282/D283</f>
        <v>0.70396015185938066</v>
      </c>
      <c r="E286" s="8">
        <f>E282/E283</f>
        <v>0.64424781577732859</v>
      </c>
      <c r="F286" s="8">
        <f>F282/F283</f>
        <v>0.66049374136536365</v>
      </c>
      <c r="V286" s="8">
        <f>V282/V283</f>
        <v>0.76453085723080083</v>
      </c>
      <c r="W286" s="8">
        <f>W282/W283</f>
        <v>0.74090605502793749</v>
      </c>
      <c r="X286" s="8">
        <f>X282/X283</f>
        <v>0.6912831924539582</v>
      </c>
      <c r="Y286" s="8">
        <f t="shared" ref="Y286:AS286" si="234">Y282/Y283</f>
        <v>0.68165134736643973</v>
      </c>
      <c r="Z286" s="8">
        <f t="shared" si="234"/>
        <v>0.77775436378323326</v>
      </c>
      <c r="AA286" s="8">
        <f t="shared" si="234"/>
        <v>0.74183301510154487</v>
      </c>
      <c r="AB286" s="8">
        <f t="shared" si="234"/>
        <v>0.74730192155830477</v>
      </c>
      <c r="AC286" s="8">
        <f t="shared" si="234"/>
        <v>0.65472026648497239</v>
      </c>
      <c r="AD286" s="8">
        <f t="shared" si="234"/>
        <v>0.72330513864156698</v>
      </c>
      <c r="AE286" s="8">
        <f t="shared" si="234"/>
        <v>0.67712750074649153</v>
      </c>
      <c r="AF286" s="8">
        <f t="shared" si="234"/>
        <v>0.73173207036535859</v>
      </c>
      <c r="AG286" s="8">
        <f t="shared" si="234"/>
        <v>0.68710458271441932</v>
      </c>
      <c r="AH286" s="8">
        <f t="shared" si="234"/>
        <v>0.70207014196085238</v>
      </c>
      <c r="AI286" s="8">
        <f t="shared" si="234"/>
        <v>0.64496562359442267</v>
      </c>
      <c r="AJ286" s="8">
        <f t="shared" si="234"/>
        <v>0.65887832024312265</v>
      </c>
      <c r="AK286" s="8">
        <f t="shared" si="234"/>
        <v>0.58757471075286505</v>
      </c>
      <c r="AL286" s="8">
        <f t="shared" si="234"/>
        <v>0.70423180730254109</v>
      </c>
      <c r="AM286" s="8">
        <f t="shared" si="234"/>
        <v>0.69713284822551636</v>
      </c>
      <c r="AN286" s="8">
        <f t="shared" si="234"/>
        <v>0.69338442011364043</v>
      </c>
      <c r="AO286" s="8">
        <f t="shared" si="234"/>
        <v>0.57710570792384663</v>
      </c>
      <c r="AP286" s="8">
        <f t="shared" si="234"/>
        <v>0.66768845792930875</v>
      </c>
      <c r="AQ286" s="8">
        <f t="shared" si="234"/>
        <v>0.65888650297202256</v>
      </c>
      <c r="AR286" s="8" t="e">
        <f t="shared" si="234"/>
        <v>#DIV/0!</v>
      </c>
      <c r="AS286" s="8" t="e">
        <f t="shared" si="234"/>
        <v>#DIV/0!</v>
      </c>
    </row>
    <row r="287" spans="1:45" s="5" customFormat="1" x14ac:dyDescent="0.2">
      <c r="A287" s="23" t="s">
        <v>256</v>
      </c>
      <c r="B287" s="4">
        <f t="shared" ref="B287" si="235">SUM(V287,W287,X287,Y287)</f>
        <v>95181</v>
      </c>
      <c r="C287" s="4">
        <f t="shared" ref="C287" si="236">SUM(Z287:AC287)</f>
        <v>98436</v>
      </c>
      <c r="D287" s="4">
        <f t="shared" ref="D287" si="237">SUM(AD287:AG287)</f>
        <v>108266</v>
      </c>
      <c r="E287" s="4">
        <f t="shared" ref="E287" si="238">SUM(AH287:AK287)</f>
        <v>118073</v>
      </c>
      <c r="F287" s="4">
        <f t="shared" ref="F287" si="239">SUM(AL287:AO287)</f>
        <v>142904</v>
      </c>
      <c r="V287" s="6">
        <v>21989</v>
      </c>
      <c r="W287" s="6">
        <v>23470</v>
      </c>
      <c r="X287" s="6">
        <v>22568</v>
      </c>
      <c r="Y287" s="6">
        <v>27154</v>
      </c>
      <c r="Z287" s="6">
        <v>22067</v>
      </c>
      <c r="AA287" s="6">
        <v>22318</v>
      </c>
      <c r="AB287" s="6">
        <v>23362</v>
      </c>
      <c r="AC287" s="6">
        <v>30689</v>
      </c>
      <c r="AD287" s="6">
        <v>26879</v>
      </c>
      <c r="AE287" s="6">
        <v>27355</v>
      </c>
      <c r="AF287" s="6">
        <v>25081</v>
      </c>
      <c r="AG287" s="6">
        <v>28951</v>
      </c>
      <c r="AH287" s="6">
        <v>24290</v>
      </c>
      <c r="AI287" s="6">
        <v>27072</v>
      </c>
      <c r="AJ287" s="6">
        <v>26608</v>
      </c>
      <c r="AK287" s="6">
        <v>40103</v>
      </c>
      <c r="AL287" s="6">
        <v>30752</v>
      </c>
      <c r="AM287" s="6">
        <v>32784</v>
      </c>
      <c r="AN287" s="6">
        <v>32777</v>
      </c>
      <c r="AO287" s="6">
        <v>46591</v>
      </c>
      <c r="AP287" s="6">
        <v>40024</v>
      </c>
      <c r="AQ287" s="6">
        <v>37380</v>
      </c>
    </row>
    <row r="288" spans="1:45" s="8" customFormat="1" x14ac:dyDescent="0.2">
      <c r="A288" s="22" t="s">
        <v>257</v>
      </c>
      <c r="B288" s="8">
        <f>B287/B283</f>
        <v>0.3903468300545036</v>
      </c>
      <c r="C288" s="8">
        <f>C287/C283</f>
        <v>0.41431734193092185</v>
      </c>
      <c r="D288" s="8">
        <f>D287/D283</f>
        <v>0.40455727609709435</v>
      </c>
      <c r="E288" s="8">
        <f>E287/E283</f>
        <v>0.37580724732243742</v>
      </c>
      <c r="F288" s="8">
        <f>F287/F283</f>
        <v>0.3972391401639504</v>
      </c>
      <c r="V288" s="8">
        <f>V287/V283</f>
        <v>0.37601532173942781</v>
      </c>
      <c r="W288" s="8">
        <f>W287/W283</f>
        <v>0.3823285060354798</v>
      </c>
      <c r="X288" s="8">
        <f>X287/X283</f>
        <v>0.37477788664330669</v>
      </c>
      <c r="Y288" s="8">
        <f t="shared" ref="Y288:AS288" si="240">Y287/Y283</f>
        <v>0.42591837374909808</v>
      </c>
      <c r="Z288" s="8">
        <f t="shared" si="240"/>
        <v>0.38750746321076107</v>
      </c>
      <c r="AA288" s="8">
        <f t="shared" si="240"/>
        <v>0.38739802117687899</v>
      </c>
      <c r="AB288" s="8">
        <f t="shared" si="240"/>
        <v>0.4099675353163113</v>
      </c>
      <c r="AC288" s="8">
        <f t="shared" si="240"/>
        <v>0.46466802937391172</v>
      </c>
      <c r="AD288" s="8">
        <f t="shared" si="240"/>
        <v>0.42735627066904097</v>
      </c>
      <c r="AE288" s="8">
        <f t="shared" si="240"/>
        <v>0.40840549417736638</v>
      </c>
      <c r="AF288" s="8">
        <f t="shared" si="240"/>
        <v>0.38567166933202118</v>
      </c>
      <c r="AG288" s="8">
        <f t="shared" si="240"/>
        <v>0.39818176816856465</v>
      </c>
      <c r="AH288" s="8">
        <f t="shared" si="240"/>
        <v>0.35114349321999594</v>
      </c>
      <c r="AI288" s="8">
        <f t="shared" si="240"/>
        <v>0.34790207543532736</v>
      </c>
      <c r="AJ288" s="8">
        <f t="shared" si="240"/>
        <v>0.35005459736090827</v>
      </c>
      <c r="AK288" s="8">
        <f t="shared" si="240"/>
        <v>0.43979821242528927</v>
      </c>
      <c r="AL288" s="8">
        <f t="shared" si="240"/>
        <v>0.39150583082955642</v>
      </c>
      <c r="AM288" s="8">
        <f t="shared" si="240"/>
        <v>0.38539033937954786</v>
      </c>
      <c r="AN288" s="8">
        <f t="shared" si="240"/>
        <v>0.38880914817143331</v>
      </c>
      <c r="AO288" s="8">
        <f t="shared" si="240"/>
        <v>0.41663462312321708</v>
      </c>
      <c r="AP288" s="8">
        <f t="shared" si="240"/>
        <v>0.41730789281618186</v>
      </c>
      <c r="AQ288" s="8">
        <f t="shared" si="240"/>
        <v>0.3877633585410637</v>
      </c>
      <c r="AR288" s="8" t="e">
        <f t="shared" si="240"/>
        <v>#DIV/0!</v>
      </c>
      <c r="AS288" s="8" t="e">
        <f t="shared" si="240"/>
        <v>#DIV/0!</v>
      </c>
    </row>
    <row r="289" spans="1:45" s="5" customFormat="1" x14ac:dyDescent="0.2">
      <c r="A289" s="21" t="s">
        <v>186</v>
      </c>
      <c r="B289" s="7">
        <f>SUM(V289,W289,X289,Y289)</f>
        <v>50631</v>
      </c>
      <c r="C289" s="7">
        <f>SUM(Z289:AC289)</f>
        <v>46247</v>
      </c>
      <c r="D289" s="7">
        <f t="shared" ref="D289" si="241">SUM(AD289:AG289)</f>
        <v>50346</v>
      </c>
      <c r="E289" s="7">
        <f t="shared" ref="E289" si="242">SUM(AH289:AK289)</f>
        <v>51730</v>
      </c>
      <c r="F289" s="7">
        <f t="shared" ref="F289" si="243">SUM(AL289:AO289)</f>
        <v>76992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3">
        <v>10336</v>
      </c>
      <c r="W289" s="13">
        <v>12537</v>
      </c>
      <c r="X289" s="13">
        <v>11774</v>
      </c>
      <c r="Y289" s="13">
        <v>15984</v>
      </c>
      <c r="Z289" s="13">
        <v>8341</v>
      </c>
      <c r="AA289" s="13">
        <v>9109</v>
      </c>
      <c r="AB289" s="13">
        <v>11339</v>
      </c>
      <c r="AC289" s="13">
        <v>17458</v>
      </c>
      <c r="AD289" s="13">
        <v>12911</v>
      </c>
      <c r="AE289" s="13">
        <v>12676</v>
      </c>
      <c r="AF289" s="13">
        <v>10280</v>
      </c>
      <c r="AG289" s="13">
        <v>14479</v>
      </c>
      <c r="AH289" s="13">
        <v>9091</v>
      </c>
      <c r="AI289" s="13">
        <v>10651</v>
      </c>
      <c r="AJ289" s="13">
        <v>11186</v>
      </c>
      <c r="AK289" s="13">
        <v>20802</v>
      </c>
      <c r="AL289" s="13">
        <v>14330</v>
      </c>
      <c r="AM289" s="13">
        <v>15687</v>
      </c>
      <c r="AN289" s="13">
        <v>16806</v>
      </c>
      <c r="AO289" s="13">
        <v>30169</v>
      </c>
      <c r="AP289" s="13">
        <v>22355</v>
      </c>
      <c r="AQ289" s="13">
        <v>20542</v>
      </c>
      <c r="AR289" s="12"/>
      <c r="AS289" s="12"/>
    </row>
    <row r="290" spans="1:45" s="8" customFormat="1" x14ac:dyDescent="0.2">
      <c r="A290" s="22" t="s">
        <v>187</v>
      </c>
      <c r="D290" s="4"/>
      <c r="V290" s="8">
        <f t="shared" ref="V290:AS290" si="244">V289/V283</f>
        <v>0.17674720839959643</v>
      </c>
      <c r="W290" s="8">
        <f t="shared" si="244"/>
        <v>0.20422890840080146</v>
      </c>
      <c r="X290" s="8">
        <f t="shared" si="244"/>
        <v>0.19552618031452912</v>
      </c>
      <c r="Y290" s="8">
        <f t="shared" si="244"/>
        <v>0.25071368071022992</v>
      </c>
      <c r="Z290" s="8">
        <f t="shared" si="244"/>
        <v>0.14647209637200154</v>
      </c>
      <c r="AA290" s="8">
        <f t="shared" si="244"/>
        <v>0.1581149106057976</v>
      </c>
      <c r="AB290" s="8">
        <f t="shared" si="244"/>
        <v>0.1989821882951654</v>
      </c>
      <c r="AC290" s="8">
        <f t="shared" si="244"/>
        <v>0.26433492315845258</v>
      </c>
      <c r="AD290" s="8">
        <f t="shared" si="244"/>
        <v>0.20527537522258968</v>
      </c>
      <c r="AE290" s="8">
        <f t="shared" si="244"/>
        <v>0.18925052254404301</v>
      </c>
      <c r="AF290" s="8">
        <f t="shared" si="244"/>
        <v>0.1580760241112068</v>
      </c>
      <c r="AG290" s="8">
        <f t="shared" si="244"/>
        <v>0.1991390218407878</v>
      </c>
      <c r="AH290" s="8">
        <f t="shared" si="244"/>
        <v>0.13142221065718335</v>
      </c>
      <c r="AI290" s="8">
        <f t="shared" si="244"/>
        <v>0.13687592366510312</v>
      </c>
      <c r="AJ290" s="8">
        <f t="shared" si="244"/>
        <v>0.14716291063135598</v>
      </c>
      <c r="AK290" s="8">
        <f t="shared" si="244"/>
        <v>0.22812962658331962</v>
      </c>
      <c r="AL290" s="8">
        <f t="shared" si="244"/>
        <v>0.18243621734480828</v>
      </c>
      <c r="AM290" s="8">
        <f t="shared" si="244"/>
        <v>0.18440758460977819</v>
      </c>
      <c r="AN290" s="8">
        <f t="shared" si="244"/>
        <v>0.19935706575248219</v>
      </c>
      <c r="AO290" s="8">
        <f t="shared" si="244"/>
        <v>0.26978278948733309</v>
      </c>
      <c r="AP290" s="8">
        <f t="shared" si="244"/>
        <v>0.23308309873840058</v>
      </c>
      <c r="AQ290" s="8">
        <f t="shared" si="244"/>
        <v>0.21309349682050643</v>
      </c>
      <c r="AR290" s="8" t="e">
        <f t="shared" si="244"/>
        <v>#DIV/0!</v>
      </c>
      <c r="AS290" s="8" t="e">
        <f t="shared" si="244"/>
        <v>#DIV/0!</v>
      </c>
    </row>
    <row r="292" spans="1:45" x14ac:dyDescent="0.2">
      <c r="A292" s="19" t="s">
        <v>190</v>
      </c>
    </row>
    <row r="293" spans="1:45" x14ac:dyDescent="0.2">
      <c r="A293" s="23" t="s">
        <v>180</v>
      </c>
      <c r="F293" s="4">
        <f t="shared" ref="F293:F295" si="245">SUM(AL293:AO293)</f>
        <v>0</v>
      </c>
      <c r="AO293" s="5">
        <v>0</v>
      </c>
      <c r="AP293" s="6">
        <v>1054</v>
      </c>
      <c r="AQ293" s="5">
        <v>438</v>
      </c>
    </row>
    <row r="294" spans="1:45" x14ac:dyDescent="0.2">
      <c r="A294" s="23" t="s">
        <v>181</v>
      </c>
      <c r="F294" s="4">
        <f t="shared" si="245"/>
        <v>3049</v>
      </c>
      <c r="AO294" s="6">
        <v>3049</v>
      </c>
      <c r="AP294" s="6">
        <v>14978</v>
      </c>
      <c r="AQ294" s="6">
        <v>15382</v>
      </c>
    </row>
    <row r="295" spans="1:45" x14ac:dyDescent="0.2">
      <c r="A295" s="21" t="s">
        <v>182</v>
      </c>
      <c r="B295" s="3"/>
      <c r="C295" s="3"/>
      <c r="D295" s="7"/>
      <c r="E295" s="3"/>
      <c r="F295" s="7">
        <f t="shared" si="245"/>
        <v>3049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7">
        <f>SUM(AO293:AO294)</f>
        <v>3049</v>
      </c>
      <c r="AP295" s="7">
        <f>SUM(AP293:AP294)</f>
        <v>16032</v>
      </c>
      <c r="AQ295" s="7">
        <f>SUM(AQ293:AQ294)</f>
        <v>15820</v>
      </c>
      <c r="AR295" s="3"/>
      <c r="AS295" s="3"/>
    </row>
    <row r="296" spans="1:45" x14ac:dyDescent="0.2">
      <c r="A296" s="22" t="s">
        <v>183</v>
      </c>
    </row>
    <row r="297" spans="1:45" x14ac:dyDescent="0.2">
      <c r="A297" s="22" t="s">
        <v>184</v>
      </c>
      <c r="F297" s="30">
        <f>F295/F10</f>
        <v>1.2880228658910084E-3</v>
      </c>
      <c r="AO297" s="30">
        <f>AO295/AO10</f>
        <v>5.3336178862499715E-3</v>
      </c>
      <c r="AP297" s="30">
        <f>AP295/AP10</f>
        <v>2.7312592208960412E-2</v>
      </c>
      <c r="AQ297" s="30">
        <f>AQ295/AQ10</f>
        <v>2.8104359195739222E-2</v>
      </c>
    </row>
    <row r="298" spans="1:45" x14ac:dyDescent="0.2">
      <c r="A298" s="22" t="s">
        <v>185</v>
      </c>
      <c r="F298" s="30">
        <f>F294/F295</f>
        <v>1</v>
      </c>
      <c r="AO298" s="30">
        <f>AO294/AO295</f>
        <v>1</v>
      </c>
      <c r="AP298" s="30">
        <f>AP294/AP295</f>
        <v>0.9342564870259481</v>
      </c>
      <c r="AQ298" s="30">
        <f>AQ294/AQ295</f>
        <v>0.97231352718078379</v>
      </c>
    </row>
    <row r="299" spans="1:45" x14ac:dyDescent="0.2">
      <c r="A299" s="23" t="s">
        <v>256</v>
      </c>
      <c r="F299" s="4">
        <f t="shared" ref="F299" si="246">SUM(AL299:AO299)</f>
        <v>2317</v>
      </c>
      <c r="AO299" s="6">
        <v>2317</v>
      </c>
      <c r="AP299" s="6">
        <v>11698</v>
      </c>
      <c r="AQ299" s="6">
        <v>11917</v>
      </c>
    </row>
    <row r="300" spans="1:45" x14ac:dyDescent="0.2">
      <c r="A300" s="22" t="s">
        <v>257</v>
      </c>
      <c r="F300" s="30">
        <f>F299/F295</f>
        <v>0.75992128566743189</v>
      </c>
      <c r="AO300" s="30">
        <f>AO299/AO295</f>
        <v>0.75992128566743189</v>
      </c>
      <c r="AP300" s="30">
        <f>AP299/AP295</f>
        <v>0.72966566866267468</v>
      </c>
      <c r="AQ300" s="30">
        <f>AQ299/AQ295</f>
        <v>0.75328697850821746</v>
      </c>
    </row>
    <row r="301" spans="1:45" x14ac:dyDescent="0.2">
      <c r="A301" s="21" t="s">
        <v>186</v>
      </c>
      <c r="B301" s="3"/>
      <c r="C301" s="3"/>
      <c r="D301" s="7"/>
      <c r="E301" s="3"/>
      <c r="F301" s="7">
        <f t="shared" ref="F301" si="247">SUM(AL301:AO301)</f>
        <v>-109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12">
        <v>-109</v>
      </c>
      <c r="AP301" s="13">
        <v>4331</v>
      </c>
      <c r="AQ301" s="13">
        <v>4376</v>
      </c>
      <c r="AR301" s="3"/>
      <c r="AS301" s="3"/>
    </row>
    <row r="302" spans="1:45" x14ac:dyDescent="0.2">
      <c r="A302" s="22" t="s">
        <v>187</v>
      </c>
      <c r="F302" s="30">
        <f>F301/F295</f>
        <v>-3.5749426041325028E-2</v>
      </c>
      <c r="AO302" s="30">
        <f>AO301/AO295</f>
        <v>-3.5749426041325028E-2</v>
      </c>
      <c r="AP302" s="30">
        <f>AP301/AP295</f>
        <v>0.27014720558882238</v>
      </c>
      <c r="AQ302" s="30">
        <f>AQ301/AQ295</f>
        <v>0.27661188369152973</v>
      </c>
    </row>
    <row r="304" spans="1:45" x14ac:dyDescent="0.2">
      <c r="A304" s="19" t="s">
        <v>191</v>
      </c>
    </row>
    <row r="305" spans="1:45" s="5" customFormat="1" x14ac:dyDescent="0.2">
      <c r="A305" s="23" t="s">
        <v>192</v>
      </c>
      <c r="B305" s="4">
        <f t="shared" ref="B305" si="248">SUM(V305,W305,X305,Y305)</f>
        <v>-441581</v>
      </c>
      <c r="C305" s="4">
        <f t="shared" ref="C305" si="249">SUM(Z305:AC305)</f>
        <v>-328657</v>
      </c>
      <c r="D305" s="4">
        <f t="shared" ref="D305" si="250">SUM(AD305:AG305)</f>
        <v>-356090</v>
      </c>
      <c r="E305" s="4">
        <f t="shared" ref="E305" si="251">SUM(AH305:AK305)</f>
        <v>-337804</v>
      </c>
      <c r="F305" s="6">
        <v>-356090</v>
      </c>
      <c r="V305" s="6">
        <v>-80388</v>
      </c>
      <c r="W305" s="6">
        <v>-104087</v>
      </c>
      <c r="X305" s="6">
        <v>-80856</v>
      </c>
      <c r="Y305" s="6">
        <v>-176250</v>
      </c>
      <c r="Z305" s="6">
        <v>-74107</v>
      </c>
      <c r="AA305" s="6">
        <v>-110377</v>
      </c>
      <c r="AB305" s="6">
        <v>-66157</v>
      </c>
      <c r="AC305" s="6">
        <v>-78016</v>
      </c>
      <c r="AD305" s="6">
        <v>-112338</v>
      </c>
      <c r="AE305" s="6">
        <v>-80253</v>
      </c>
      <c r="AF305" s="6">
        <v>-75568</v>
      </c>
      <c r="AG305" s="6">
        <v>-87931</v>
      </c>
      <c r="AH305" s="6">
        <v>-84672</v>
      </c>
      <c r="AI305" s="6">
        <v>-87173</v>
      </c>
      <c r="AJ305" s="6">
        <v>-78969</v>
      </c>
      <c r="AK305" s="6">
        <v>-86990</v>
      </c>
      <c r="AL305" s="6">
        <v>-84697</v>
      </c>
      <c r="AM305" s="6">
        <v>-85727</v>
      </c>
      <c r="AN305" s="6">
        <v>-81778</v>
      </c>
      <c r="AO305" s="6">
        <f>F305-SUM(AL305:AN305)</f>
        <v>-103888</v>
      </c>
      <c r="AP305" s="6">
        <v>-103642</v>
      </c>
      <c r="AQ305" s="6">
        <v>-89864</v>
      </c>
      <c r="AS305" s="6"/>
    </row>
    <row r="307" spans="1:45" x14ac:dyDescent="0.2">
      <c r="A307" s="19" t="s">
        <v>193</v>
      </c>
    </row>
    <row r="308" spans="1:45" x14ac:dyDescent="0.2">
      <c r="A308" s="23" t="s">
        <v>194</v>
      </c>
      <c r="B308" s="4">
        <f>SUM(B283,B271,B259,B295)</f>
        <v>1981572</v>
      </c>
      <c r="C308" s="4">
        <f>SUM(C283,C271,C259,C295)</f>
        <v>1795564</v>
      </c>
      <c r="D308" s="4">
        <f>SUM(D283,D271,D259,D295)</f>
        <v>2173633</v>
      </c>
      <c r="E308" s="4">
        <f>SUM(E283,E271,E259,E295)</f>
        <v>2440837</v>
      </c>
      <c r="F308" s="4">
        <f>SUM(F283,F271,F259,F295)</f>
        <v>2367194</v>
      </c>
      <c r="V308" s="4">
        <f t="shared" ref="V308:AS308" si="252">SUM(V295,V283,V271,V259)</f>
        <v>519574</v>
      </c>
      <c r="W308" s="4">
        <f t="shared" si="252"/>
        <v>489412</v>
      </c>
      <c r="X308" s="4">
        <f t="shared" si="252"/>
        <v>486949</v>
      </c>
      <c r="Y308" s="4">
        <f t="shared" si="252"/>
        <v>485637</v>
      </c>
      <c r="Z308" s="4">
        <f t="shared" si="252"/>
        <v>475331</v>
      </c>
      <c r="AA308" s="4">
        <f t="shared" si="252"/>
        <v>431882</v>
      </c>
      <c r="AB308" s="4">
        <f t="shared" si="252"/>
        <v>420860</v>
      </c>
      <c r="AC308" s="4">
        <f t="shared" si="252"/>
        <v>467491</v>
      </c>
      <c r="AD308" s="4">
        <f t="shared" si="252"/>
        <v>494618</v>
      </c>
      <c r="AE308" s="4">
        <f t="shared" si="252"/>
        <v>541070</v>
      </c>
      <c r="AF308" s="4">
        <f t="shared" si="252"/>
        <v>560772</v>
      </c>
      <c r="AG308" s="4">
        <f t="shared" si="252"/>
        <v>577173</v>
      </c>
      <c r="AH308" s="4">
        <f t="shared" si="252"/>
        <v>603442</v>
      </c>
      <c r="AI308" s="4">
        <f t="shared" si="252"/>
        <v>609069</v>
      </c>
      <c r="AJ308" s="4">
        <f t="shared" si="252"/>
        <v>615462</v>
      </c>
      <c r="AK308" s="4">
        <f t="shared" si="252"/>
        <v>612864</v>
      </c>
      <c r="AL308" s="4">
        <f t="shared" si="252"/>
        <v>607151</v>
      </c>
      <c r="AM308" s="4">
        <f t="shared" si="252"/>
        <v>606761</v>
      </c>
      <c r="AN308" s="4">
        <f t="shared" si="252"/>
        <v>581625</v>
      </c>
      <c r="AO308" s="4">
        <f t="shared" si="252"/>
        <v>571657</v>
      </c>
      <c r="AP308" s="4">
        <f t="shared" si="252"/>
        <v>586982</v>
      </c>
      <c r="AQ308" s="4">
        <f t="shared" si="252"/>
        <v>562902</v>
      </c>
      <c r="AR308" s="4">
        <f t="shared" si="252"/>
        <v>0</v>
      </c>
      <c r="AS308" s="4">
        <f t="shared" si="252"/>
        <v>0</v>
      </c>
    </row>
    <row r="309" spans="1:45" x14ac:dyDescent="0.2">
      <c r="A309" s="23" t="s">
        <v>195</v>
      </c>
      <c r="B309" s="4">
        <f>B10</f>
        <v>1981572</v>
      </c>
      <c r="C309" s="4">
        <f>C10</f>
        <v>1795564</v>
      </c>
      <c r="D309" s="4">
        <f>D10</f>
        <v>2173633</v>
      </c>
      <c r="E309" s="4">
        <f>E10</f>
        <v>2440837</v>
      </c>
      <c r="F309" s="4">
        <f>F10</f>
        <v>2367194</v>
      </c>
      <c r="V309" s="4">
        <f t="shared" ref="V309:AS309" si="253">V10</f>
        <v>519574</v>
      </c>
      <c r="W309" s="4">
        <f t="shared" si="253"/>
        <v>489412</v>
      </c>
      <c r="X309" s="4">
        <f t="shared" si="253"/>
        <v>486949</v>
      </c>
      <c r="Y309" s="4">
        <f t="shared" si="253"/>
        <v>485637</v>
      </c>
      <c r="Z309" s="4">
        <f t="shared" si="253"/>
        <v>475331</v>
      </c>
      <c r="AA309" s="4">
        <f t="shared" si="253"/>
        <v>431882</v>
      </c>
      <c r="AB309" s="4">
        <f t="shared" si="253"/>
        <v>420860</v>
      </c>
      <c r="AC309" s="4">
        <f t="shared" si="253"/>
        <v>467491</v>
      </c>
      <c r="AD309" s="4">
        <f t="shared" si="253"/>
        <v>494618</v>
      </c>
      <c r="AE309" s="4">
        <f t="shared" si="253"/>
        <v>541070</v>
      </c>
      <c r="AF309" s="4">
        <f t="shared" si="253"/>
        <v>560772</v>
      </c>
      <c r="AG309" s="4">
        <f t="shared" si="253"/>
        <v>577173</v>
      </c>
      <c r="AH309" s="4">
        <f t="shared" si="253"/>
        <v>603442</v>
      </c>
      <c r="AI309" s="4">
        <f t="shared" si="253"/>
        <v>609069</v>
      </c>
      <c r="AJ309" s="4">
        <f t="shared" si="253"/>
        <v>615462</v>
      </c>
      <c r="AK309" s="4">
        <f t="shared" si="253"/>
        <v>612864</v>
      </c>
      <c r="AL309" s="4">
        <f t="shared" si="253"/>
        <v>607151</v>
      </c>
      <c r="AM309" s="4">
        <f t="shared" si="253"/>
        <v>606761</v>
      </c>
      <c r="AN309" s="4">
        <f t="shared" si="253"/>
        <v>581625</v>
      </c>
      <c r="AO309" s="4">
        <f t="shared" si="253"/>
        <v>571657</v>
      </c>
      <c r="AP309" s="4">
        <f t="shared" si="253"/>
        <v>586982</v>
      </c>
      <c r="AQ309" s="4">
        <f t="shared" si="253"/>
        <v>562902</v>
      </c>
      <c r="AR309" s="4">
        <f t="shared" si="253"/>
        <v>0</v>
      </c>
      <c r="AS309" s="4">
        <f t="shared" si="253"/>
        <v>0</v>
      </c>
    </row>
    <row r="310" spans="1:45" x14ac:dyDescent="0.2">
      <c r="A310" s="24" t="s">
        <v>196</v>
      </c>
      <c r="B310" s="4">
        <f>B308-B309</f>
        <v>0</v>
      </c>
      <c r="C310" s="4">
        <f>C308-C309</f>
        <v>0</v>
      </c>
      <c r="D310" s="4">
        <f>D308-D309</f>
        <v>0</v>
      </c>
      <c r="E310" s="4">
        <f>E308-E309</f>
        <v>0</v>
      </c>
      <c r="F310" s="4">
        <f>F308-F309</f>
        <v>0</v>
      </c>
      <c r="V310" s="4">
        <f>V308-V309</f>
        <v>0</v>
      </c>
      <c r="W310" s="4">
        <f>W308-W309</f>
        <v>0</v>
      </c>
      <c r="X310" s="4">
        <f>X308-X309</f>
        <v>0</v>
      </c>
      <c r="Y310" s="4">
        <f t="shared" ref="Y310:AS310" si="254">Y308-Y309</f>
        <v>0</v>
      </c>
      <c r="Z310" s="4">
        <f t="shared" si="254"/>
        <v>0</v>
      </c>
      <c r="AA310" s="4">
        <f t="shared" si="254"/>
        <v>0</v>
      </c>
      <c r="AB310" s="4">
        <f t="shared" si="254"/>
        <v>0</v>
      </c>
      <c r="AC310" s="4">
        <f t="shared" si="254"/>
        <v>0</v>
      </c>
      <c r="AD310" s="4">
        <f t="shared" si="254"/>
        <v>0</v>
      </c>
      <c r="AE310" s="4">
        <f t="shared" si="254"/>
        <v>0</v>
      </c>
      <c r="AF310" s="4">
        <f t="shared" si="254"/>
        <v>0</v>
      </c>
      <c r="AG310" s="4">
        <f t="shared" si="254"/>
        <v>0</v>
      </c>
      <c r="AH310" s="4">
        <f t="shared" si="254"/>
        <v>0</v>
      </c>
      <c r="AI310" s="4">
        <f t="shared" si="254"/>
        <v>0</v>
      </c>
      <c r="AJ310" s="4">
        <f t="shared" si="254"/>
        <v>0</v>
      </c>
      <c r="AK310" s="4">
        <f t="shared" si="254"/>
        <v>0</v>
      </c>
      <c r="AL310" s="4">
        <f t="shared" si="254"/>
        <v>0</v>
      </c>
      <c r="AM310" s="4">
        <f t="shared" si="254"/>
        <v>0</v>
      </c>
      <c r="AN310" s="4">
        <f t="shared" si="254"/>
        <v>0</v>
      </c>
      <c r="AO310" s="4">
        <f t="shared" si="254"/>
        <v>0</v>
      </c>
      <c r="AP310" s="4">
        <f t="shared" si="254"/>
        <v>0</v>
      </c>
      <c r="AQ310" s="4">
        <f t="shared" si="254"/>
        <v>0</v>
      </c>
      <c r="AR310" s="4">
        <f t="shared" si="254"/>
        <v>0</v>
      </c>
      <c r="AS310" s="4">
        <f t="shared" si="254"/>
        <v>0</v>
      </c>
    </row>
    <row r="312" spans="1:45" x14ac:dyDescent="0.2">
      <c r="A312" s="19" t="s">
        <v>197</v>
      </c>
    </row>
    <row r="313" spans="1:45" x14ac:dyDescent="0.2">
      <c r="A313" s="23" t="s">
        <v>198</v>
      </c>
      <c r="B313" s="4">
        <f>B258</f>
        <v>10001</v>
      </c>
      <c r="C313" s="4">
        <f>C258</f>
        <v>5356</v>
      </c>
      <c r="D313" s="4">
        <f>D258</f>
        <v>3008</v>
      </c>
      <c r="E313" s="4">
        <f>E258</f>
        <v>3248</v>
      </c>
      <c r="F313" s="4">
        <f>F258</f>
        <v>2483</v>
      </c>
      <c r="V313" s="4">
        <f t="shared" ref="V313:AS313" si="255">V258</f>
        <v>2450</v>
      </c>
      <c r="W313" s="4">
        <f t="shared" si="255"/>
        <v>2320</v>
      </c>
      <c r="X313" s="4">
        <f t="shared" si="255"/>
        <v>2404</v>
      </c>
      <c r="Y313" s="4">
        <f t="shared" si="255"/>
        <v>2827</v>
      </c>
      <c r="Z313" s="4">
        <f t="shared" si="255"/>
        <v>1679</v>
      </c>
      <c r="AA313" s="4">
        <f t="shared" si="255"/>
        <v>1377</v>
      </c>
      <c r="AB313" s="4">
        <f t="shared" si="255"/>
        <v>1110</v>
      </c>
      <c r="AC313" s="4">
        <f t="shared" si="255"/>
        <v>1190</v>
      </c>
      <c r="AD313" s="4">
        <f t="shared" si="255"/>
        <v>803</v>
      </c>
      <c r="AE313" s="4">
        <f t="shared" si="255"/>
        <v>651</v>
      </c>
      <c r="AF313" s="4">
        <f t="shared" si="255"/>
        <v>631</v>
      </c>
      <c r="AG313" s="4">
        <f t="shared" si="255"/>
        <v>923</v>
      </c>
      <c r="AH313" s="4">
        <f t="shared" si="255"/>
        <v>844</v>
      </c>
      <c r="AI313" s="4">
        <f t="shared" si="255"/>
        <v>621</v>
      </c>
      <c r="AJ313" s="4">
        <f t="shared" si="255"/>
        <v>619</v>
      </c>
      <c r="AK313" s="4">
        <f t="shared" si="255"/>
        <v>1164</v>
      </c>
      <c r="AL313" s="4">
        <f t="shared" si="255"/>
        <v>484</v>
      </c>
      <c r="AM313" s="4">
        <f t="shared" si="255"/>
        <v>821</v>
      </c>
      <c r="AN313" s="4">
        <f t="shared" si="255"/>
        <v>525</v>
      </c>
      <c r="AO313" s="4">
        <f t="shared" si="255"/>
        <v>653</v>
      </c>
      <c r="AP313" s="4">
        <f t="shared" si="255"/>
        <v>649</v>
      </c>
      <c r="AQ313" s="4">
        <f t="shared" si="255"/>
        <v>505</v>
      </c>
      <c r="AR313" s="4">
        <f t="shared" si="255"/>
        <v>0</v>
      </c>
      <c r="AS313" s="4">
        <f t="shared" si="255"/>
        <v>0</v>
      </c>
    </row>
    <row r="314" spans="1:45" x14ac:dyDescent="0.2">
      <c r="A314" s="23" t="s">
        <v>199</v>
      </c>
      <c r="B314" s="4">
        <f>B270</f>
        <v>118100</v>
      </c>
      <c r="C314" s="4">
        <f>C270</f>
        <v>117112</v>
      </c>
      <c r="D314" s="4">
        <f>D270</f>
        <v>118745</v>
      </c>
      <c r="E314" s="4">
        <f>E270</f>
        <v>103797</v>
      </c>
      <c r="F314" s="4">
        <f>F270</f>
        <v>115078</v>
      </c>
      <c r="V314" s="4">
        <f t="shared" ref="V314:AS314" si="256">V270</f>
        <v>29611</v>
      </c>
      <c r="W314" s="4">
        <f t="shared" si="256"/>
        <v>29891</v>
      </c>
      <c r="X314" s="4">
        <f t="shared" si="256"/>
        <v>31971</v>
      </c>
      <c r="Y314" s="4">
        <f t="shared" si="256"/>
        <v>26627</v>
      </c>
      <c r="Z314" s="4">
        <f t="shared" si="256"/>
        <v>29552</v>
      </c>
      <c r="AA314" s="4">
        <f t="shared" si="256"/>
        <v>27870</v>
      </c>
      <c r="AB314" s="4">
        <f t="shared" si="256"/>
        <v>29374</v>
      </c>
      <c r="AC314" s="4">
        <f t="shared" si="256"/>
        <v>30316</v>
      </c>
      <c r="AD314" s="4">
        <f t="shared" si="256"/>
        <v>31998</v>
      </c>
      <c r="AE314" s="4">
        <f t="shared" si="256"/>
        <v>30262</v>
      </c>
      <c r="AF314" s="4">
        <f t="shared" si="256"/>
        <v>32200</v>
      </c>
      <c r="AG314" s="4">
        <f t="shared" si="256"/>
        <v>24285</v>
      </c>
      <c r="AH314" s="4">
        <f t="shared" si="256"/>
        <v>26211</v>
      </c>
      <c r="AI314" s="4">
        <f t="shared" si="256"/>
        <v>25353</v>
      </c>
      <c r="AJ314" s="4">
        <f t="shared" si="256"/>
        <v>26512</v>
      </c>
      <c r="AK314" s="4">
        <f t="shared" si="256"/>
        <v>25721</v>
      </c>
      <c r="AL314" s="4">
        <f t="shared" si="256"/>
        <v>28210</v>
      </c>
      <c r="AM314" s="4">
        <f t="shared" si="256"/>
        <v>29453</v>
      </c>
      <c r="AN314" s="4">
        <f t="shared" si="256"/>
        <v>28324</v>
      </c>
      <c r="AO314" s="4">
        <f t="shared" si="256"/>
        <v>29091</v>
      </c>
      <c r="AP314" s="4">
        <f t="shared" si="256"/>
        <v>29516</v>
      </c>
      <c r="AQ314" s="4">
        <f t="shared" si="256"/>
        <v>30037</v>
      </c>
      <c r="AR314" s="4">
        <f t="shared" si="256"/>
        <v>0</v>
      </c>
      <c r="AS314" s="4">
        <f t="shared" si="256"/>
        <v>0</v>
      </c>
    </row>
    <row r="315" spans="1:45" x14ac:dyDescent="0.2">
      <c r="A315" s="23" t="s">
        <v>200</v>
      </c>
      <c r="B315" s="4">
        <f>B282</f>
        <v>175276</v>
      </c>
      <c r="C315" s="4">
        <f>C282</f>
        <v>172853</v>
      </c>
      <c r="D315" s="4">
        <f>D282</f>
        <v>188391</v>
      </c>
      <c r="E315" s="4">
        <f>E282</f>
        <v>202413</v>
      </c>
      <c r="F315" s="4">
        <f>F282</f>
        <v>237608</v>
      </c>
      <c r="V315" s="4">
        <f>V282</f>
        <v>44709</v>
      </c>
      <c r="W315" s="4">
        <f>W282</f>
        <v>45482</v>
      </c>
      <c r="X315" s="4">
        <f>X282</f>
        <v>41627</v>
      </c>
      <c r="Y315" s="4">
        <f t="shared" ref="Y315:AS315" si="257">Y282</f>
        <v>43458</v>
      </c>
      <c r="Z315" s="4">
        <f t="shared" si="257"/>
        <v>44290</v>
      </c>
      <c r="AA315" s="4">
        <f t="shared" si="257"/>
        <v>42737</v>
      </c>
      <c r="AB315" s="4">
        <f t="shared" si="257"/>
        <v>42585</v>
      </c>
      <c r="AC315" s="4">
        <f t="shared" si="257"/>
        <v>43241</v>
      </c>
      <c r="AD315" s="4">
        <f t="shared" si="257"/>
        <v>45493</v>
      </c>
      <c r="AE315" s="4">
        <f t="shared" si="257"/>
        <v>45354</v>
      </c>
      <c r="AF315" s="4">
        <f t="shared" si="257"/>
        <v>47586</v>
      </c>
      <c r="AG315" s="4">
        <f t="shared" si="257"/>
        <v>49958</v>
      </c>
      <c r="AH315" s="4">
        <f t="shared" si="257"/>
        <v>48565</v>
      </c>
      <c r="AI315" s="4">
        <f t="shared" si="257"/>
        <v>50188</v>
      </c>
      <c r="AJ315" s="4">
        <f t="shared" si="257"/>
        <v>50082</v>
      </c>
      <c r="AK315" s="4">
        <f t="shared" si="257"/>
        <v>53578</v>
      </c>
      <c r="AL315" s="4">
        <f t="shared" si="257"/>
        <v>55316</v>
      </c>
      <c r="AM315" s="4">
        <f t="shared" si="257"/>
        <v>59303</v>
      </c>
      <c r="AN315" s="4">
        <f t="shared" si="257"/>
        <v>58453</v>
      </c>
      <c r="AO315" s="4">
        <f t="shared" si="257"/>
        <v>64536</v>
      </c>
      <c r="AP315" s="4">
        <f t="shared" si="257"/>
        <v>64038</v>
      </c>
      <c r="AQ315" s="4">
        <f t="shared" si="257"/>
        <v>63516</v>
      </c>
      <c r="AR315" s="4">
        <f t="shared" si="257"/>
        <v>0</v>
      </c>
      <c r="AS315" s="4">
        <f t="shared" si="257"/>
        <v>0</v>
      </c>
    </row>
    <row r="316" spans="1:45" x14ac:dyDescent="0.2">
      <c r="A316" s="23" t="s">
        <v>201</v>
      </c>
      <c r="B316">
        <f>B294</f>
        <v>0</v>
      </c>
      <c r="C316">
        <f>C294</f>
        <v>0</v>
      </c>
      <c r="D316">
        <f>D294</f>
        <v>0</v>
      </c>
      <c r="E316">
        <f>E294</f>
        <v>0</v>
      </c>
      <c r="F316" s="4">
        <f>F294</f>
        <v>3049</v>
      </c>
      <c r="V316">
        <f t="shared" ref="V316:AS316" si="258">V294</f>
        <v>0</v>
      </c>
      <c r="W316">
        <f t="shared" si="258"/>
        <v>0</v>
      </c>
      <c r="X316">
        <f t="shared" si="258"/>
        <v>0</v>
      </c>
      <c r="Y316">
        <f t="shared" si="258"/>
        <v>0</v>
      </c>
      <c r="Z316">
        <f t="shared" si="258"/>
        <v>0</v>
      </c>
      <c r="AA316">
        <f t="shared" si="258"/>
        <v>0</v>
      </c>
      <c r="AB316">
        <f t="shared" si="258"/>
        <v>0</v>
      </c>
      <c r="AC316">
        <f t="shared" si="258"/>
        <v>0</v>
      </c>
      <c r="AD316">
        <f t="shared" si="258"/>
        <v>0</v>
      </c>
      <c r="AE316">
        <f t="shared" si="258"/>
        <v>0</v>
      </c>
      <c r="AF316">
        <f t="shared" si="258"/>
        <v>0</v>
      </c>
      <c r="AG316">
        <f t="shared" si="258"/>
        <v>0</v>
      </c>
      <c r="AH316">
        <f t="shared" si="258"/>
        <v>0</v>
      </c>
      <c r="AI316">
        <f t="shared" si="258"/>
        <v>0</v>
      </c>
      <c r="AJ316">
        <f t="shared" si="258"/>
        <v>0</v>
      </c>
      <c r="AK316">
        <f t="shared" si="258"/>
        <v>0</v>
      </c>
      <c r="AL316">
        <f t="shared" si="258"/>
        <v>0</v>
      </c>
      <c r="AM316">
        <f t="shared" si="258"/>
        <v>0</v>
      </c>
      <c r="AN316">
        <f t="shared" si="258"/>
        <v>0</v>
      </c>
      <c r="AO316">
        <f t="shared" si="258"/>
        <v>3049</v>
      </c>
      <c r="AP316" s="4">
        <f t="shared" si="258"/>
        <v>14978</v>
      </c>
      <c r="AQ316">
        <f t="shared" si="258"/>
        <v>15382</v>
      </c>
      <c r="AR316">
        <f t="shared" si="258"/>
        <v>0</v>
      </c>
      <c r="AS316">
        <f t="shared" si="258"/>
        <v>0</v>
      </c>
    </row>
    <row r="317" spans="1:45" x14ac:dyDescent="0.2">
      <c r="A317" s="21" t="s">
        <v>202</v>
      </c>
      <c r="B317" s="7">
        <f>SUM(B313:B316)</f>
        <v>303377</v>
      </c>
      <c r="C317" s="7">
        <f>SUM(Z317:AC317)</f>
        <v>295321</v>
      </c>
      <c r="D317" s="7">
        <f>SUM(AA317:AD317)</f>
        <v>298094</v>
      </c>
      <c r="E317" s="7">
        <f>SUM(AB317:AE317)</f>
        <v>302377</v>
      </c>
      <c r="F317" s="7">
        <f>SUM(AC317:AF317)</f>
        <v>309725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7">
        <f>SUM(V313:V316)</f>
        <v>76770</v>
      </c>
      <c r="W317" s="7">
        <f>SUM(W313:W316)</f>
        <v>77693</v>
      </c>
      <c r="X317" s="7">
        <f>SUM(X313:X316)</f>
        <v>76002</v>
      </c>
      <c r="Y317" s="7">
        <f t="shared" ref="Y317:AS317" si="259">SUM(Y313:Y316)</f>
        <v>72912</v>
      </c>
      <c r="Z317" s="7">
        <f t="shared" si="259"/>
        <v>75521</v>
      </c>
      <c r="AA317" s="7">
        <f t="shared" si="259"/>
        <v>71984</v>
      </c>
      <c r="AB317" s="7">
        <f t="shared" si="259"/>
        <v>73069</v>
      </c>
      <c r="AC317" s="7">
        <f t="shared" si="259"/>
        <v>74747</v>
      </c>
      <c r="AD317" s="7">
        <f t="shared" si="259"/>
        <v>78294</v>
      </c>
      <c r="AE317" s="7">
        <f t="shared" si="259"/>
        <v>76267</v>
      </c>
      <c r="AF317" s="7">
        <f t="shared" si="259"/>
        <v>80417</v>
      </c>
      <c r="AG317" s="7">
        <f t="shared" si="259"/>
        <v>75166</v>
      </c>
      <c r="AH317" s="7">
        <f t="shared" si="259"/>
        <v>75620</v>
      </c>
      <c r="AI317" s="7">
        <f t="shared" si="259"/>
        <v>76162</v>
      </c>
      <c r="AJ317" s="7">
        <f t="shared" si="259"/>
        <v>77213</v>
      </c>
      <c r="AK317" s="7">
        <f t="shared" si="259"/>
        <v>80463</v>
      </c>
      <c r="AL317" s="7">
        <f t="shared" si="259"/>
        <v>84010</v>
      </c>
      <c r="AM317" s="7">
        <f t="shared" si="259"/>
        <v>89577</v>
      </c>
      <c r="AN317" s="7">
        <f t="shared" si="259"/>
        <v>87302</v>
      </c>
      <c r="AO317" s="7">
        <f t="shared" si="259"/>
        <v>97329</v>
      </c>
      <c r="AP317" s="7">
        <f t="shared" si="259"/>
        <v>109181</v>
      </c>
      <c r="AQ317" s="7">
        <f t="shared" si="259"/>
        <v>109440</v>
      </c>
      <c r="AR317" s="7">
        <f t="shared" si="259"/>
        <v>0</v>
      </c>
      <c r="AS317" s="7">
        <f t="shared" si="259"/>
        <v>0</v>
      </c>
    </row>
    <row r="318" spans="1:45" x14ac:dyDescent="0.2">
      <c r="A318" s="22" t="s">
        <v>203</v>
      </c>
      <c r="B318" s="8">
        <f>B317/B10</f>
        <v>0.15309915561988158</v>
      </c>
      <c r="C318" s="8">
        <f>C317/C10</f>
        <v>0.16447255569837665</v>
      </c>
      <c r="D318" s="8">
        <f>D317/D10</f>
        <v>0.13714090649157423</v>
      </c>
      <c r="E318" s="8">
        <f>E317/E10</f>
        <v>0.12388250423932447</v>
      </c>
      <c r="F318" s="8">
        <f>F317/F10</f>
        <v>0.13084056482062728</v>
      </c>
      <c r="V318" s="8">
        <f t="shared" ref="V318:AS318" si="260">V317/V10</f>
        <v>0.14775566136873669</v>
      </c>
      <c r="W318" s="8">
        <f t="shared" si="260"/>
        <v>0.15874764002517305</v>
      </c>
      <c r="X318" s="8">
        <f t="shared" si="260"/>
        <v>0.15607794656113885</v>
      </c>
      <c r="Y318" s="8">
        <f t="shared" si="260"/>
        <v>0.15013683059569186</v>
      </c>
      <c r="Z318" s="8">
        <f t="shared" si="260"/>
        <v>0.15888086407156277</v>
      </c>
      <c r="AA318" s="8">
        <f t="shared" si="260"/>
        <v>0.16667515664000815</v>
      </c>
      <c r="AB318" s="8">
        <f t="shared" si="260"/>
        <v>0.17361830537470893</v>
      </c>
      <c r="AC318" s="8">
        <f t="shared" si="260"/>
        <v>0.15988970910669939</v>
      </c>
      <c r="AD318" s="8">
        <f t="shared" si="260"/>
        <v>0.15829185351119449</v>
      </c>
      <c r="AE318" s="8">
        <f t="shared" si="260"/>
        <v>0.14095588371190418</v>
      </c>
      <c r="AF318" s="8">
        <f t="shared" si="260"/>
        <v>0.14340409292903356</v>
      </c>
      <c r="AG318" s="8">
        <f t="shared" si="260"/>
        <v>0.13023131712675404</v>
      </c>
      <c r="AH318" s="8">
        <f t="shared" si="260"/>
        <v>0.12531444612738257</v>
      </c>
      <c r="AI318" s="8">
        <f t="shared" si="260"/>
        <v>0.12504658749665473</v>
      </c>
      <c r="AJ318" s="8">
        <f t="shared" si="260"/>
        <v>0.12545534898986452</v>
      </c>
      <c r="AK318" s="8">
        <f t="shared" si="260"/>
        <v>0.13129013941102757</v>
      </c>
      <c r="AL318" s="8">
        <f t="shared" si="260"/>
        <v>0.13836755601160172</v>
      </c>
      <c r="AM318" s="8">
        <f t="shared" si="260"/>
        <v>0.14763143972667986</v>
      </c>
      <c r="AN318" s="8">
        <f t="shared" si="260"/>
        <v>0.15010015044057598</v>
      </c>
      <c r="AO318" s="8">
        <f t="shared" si="260"/>
        <v>0.17025768948862693</v>
      </c>
      <c r="AP318" s="8">
        <f t="shared" si="260"/>
        <v>0.18600400012266136</v>
      </c>
      <c r="AQ318" s="8">
        <f t="shared" si="260"/>
        <v>0.19442105375358409</v>
      </c>
      <c r="AR318" s="8" t="e">
        <f t="shared" si="260"/>
        <v>#DIV/0!</v>
      </c>
      <c r="AS318" s="8" t="e">
        <f t="shared" si="260"/>
        <v>#DIV/0!</v>
      </c>
    </row>
    <row r="319" spans="1:45" x14ac:dyDescent="0.2">
      <c r="A319" s="22" t="s">
        <v>204</v>
      </c>
      <c r="Z319" s="35">
        <f>(Z318-V318)/V318</f>
        <v>7.5294595142870333E-2</v>
      </c>
      <c r="AA319" s="35">
        <f t="shared" ref="AA319" si="261">(AA318-W318)/W318</f>
        <v>4.9937854909704524E-2</v>
      </c>
      <c r="AB319" s="35">
        <f t="shared" ref="AB319" si="262">(AB318-X318)/X318</f>
        <v>0.11238204499762026</v>
      </c>
      <c r="AC319" s="35">
        <f t="shared" ref="AC319" si="263">(AC318-Y318)/Y318</f>
        <v>6.4959933364194727E-2</v>
      </c>
      <c r="AD319" s="35">
        <f t="shared" ref="AD319" si="264">(AD318-Z318)/Z318</f>
        <v>-3.7072467084706918E-3</v>
      </c>
      <c r="AE319" s="35">
        <f t="shared" ref="AE319" si="265">(AE318-AA318)/AA318</f>
        <v>-0.15430777715513724</v>
      </c>
      <c r="AF319" s="35">
        <f t="shared" ref="AF319" si="266">(AF318-AB318)/AB318</f>
        <v>-0.17402665220390232</v>
      </c>
      <c r="AG319" s="35">
        <f t="shared" ref="AG319" si="267">(AG318-AC318)/AC318</f>
        <v>-0.1854928134252429</v>
      </c>
      <c r="AH319" s="35">
        <f t="shared" ref="AH319" si="268">(AH318-AD318)/AD318</f>
        <v>-0.20833294103464228</v>
      </c>
      <c r="AI319" s="35">
        <f t="shared" ref="AI319" si="269">(AI318-AE318)/AE318</f>
        <v>-0.11286720210818596</v>
      </c>
      <c r="AJ319" s="35">
        <f t="shared" ref="AJ319" si="270">(AJ318-AF318)/AF318</f>
        <v>-0.12516200599693719</v>
      </c>
      <c r="AK319" s="35">
        <f t="shared" ref="AK319" si="271">(AK318-AG318)/AG318</f>
        <v>8.1303200154459413E-3</v>
      </c>
      <c r="AL319" s="35">
        <f t="shared" ref="AL319" si="272">(AL318-AH318)/AH318</f>
        <v>0.10416285023476557</v>
      </c>
      <c r="AM319" s="35">
        <f t="shared" ref="AM319" si="273">(AM318-AI318)/AI318</f>
        <v>0.18061150393751704</v>
      </c>
      <c r="AN319" s="35">
        <f t="shared" ref="AN319" si="274">(AN318-AJ318)/AJ318</f>
        <v>0.19644281132008573</v>
      </c>
      <c r="AO319" s="35">
        <f t="shared" ref="AO319" si="275">(AO318-AK318)/AK318</f>
        <v>0.29680484956760067</v>
      </c>
      <c r="AP319" s="35">
        <f t="shared" ref="AP319" si="276">(AP318-AL318)/AL318</f>
        <v>0.34427466585494548</v>
      </c>
      <c r="AQ319" s="35">
        <f t="shared" ref="AQ319" si="277">(AQ318-AM318)/AM318</f>
        <v>0.31693529585248936</v>
      </c>
    </row>
    <row r="321" spans="1:45" ht="16" x14ac:dyDescent="0.2">
      <c r="A321" s="18" t="s">
        <v>258</v>
      </c>
      <c r="AO321" s="30">
        <f>SUM(AO299,AO287,AO275,AO263)/AO10</f>
        <v>0.40726169713656968</v>
      </c>
      <c r="AP321" s="30">
        <f>SUM(AP299,AP287,AP275,AP263)/AP10</f>
        <v>0.406850635964987</v>
      </c>
      <c r="AQ321" s="30">
        <f>SUM(AQ299,AQ287,AQ275,AQ263)/AQ10</f>
        <v>0.41429946953466146</v>
      </c>
    </row>
    <row r="323" spans="1:45" ht="16" x14ac:dyDescent="0.2">
      <c r="A323" s="18" t="s">
        <v>259</v>
      </c>
      <c r="F323">
        <v>368</v>
      </c>
      <c r="AG323" s="5">
        <v>296</v>
      </c>
      <c r="AH323" s="5"/>
      <c r="AI323" s="5"/>
      <c r="AJ323" s="5"/>
      <c r="AK323" s="5">
        <v>306</v>
      </c>
      <c r="AL323" s="5">
        <v>323</v>
      </c>
      <c r="AM323" s="5">
        <v>345</v>
      </c>
      <c r="AN323" s="5"/>
      <c r="AO323" s="5">
        <v>368</v>
      </c>
      <c r="AP323" s="5">
        <v>414</v>
      </c>
      <c r="AQ323" s="5">
        <v>417</v>
      </c>
    </row>
    <row r="325" spans="1:45" ht="16" x14ac:dyDescent="0.2">
      <c r="A325" s="17" t="s">
        <v>205</v>
      </c>
      <c r="B325" s="1"/>
      <c r="C325" s="1"/>
      <c r="D325" s="3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">
      <c r="B326" s="2" t="s">
        <v>3</v>
      </c>
      <c r="C326" s="2" t="s">
        <v>4</v>
      </c>
      <c r="D326" s="39" t="s">
        <v>5</v>
      </c>
      <c r="E326" s="2" t="s">
        <v>6</v>
      </c>
      <c r="F326" s="2" t="s">
        <v>7</v>
      </c>
      <c r="G326" s="2" t="s">
        <v>8</v>
      </c>
      <c r="I326" s="2" t="s">
        <v>9</v>
      </c>
      <c r="J326" s="2" t="s">
        <v>10</v>
      </c>
      <c r="K326" s="2" t="s">
        <v>11</v>
      </c>
      <c r="L326" s="2" t="s">
        <v>12</v>
      </c>
      <c r="M326" s="2" t="s">
        <v>13</v>
      </c>
      <c r="N326" s="2" t="s">
        <v>14</v>
      </c>
      <c r="O326" s="2" t="s">
        <v>15</v>
      </c>
      <c r="P326" s="2" t="s">
        <v>16</v>
      </c>
      <c r="Q326" s="2" t="s">
        <v>17</v>
      </c>
      <c r="R326" s="2" t="s">
        <v>18</v>
      </c>
      <c r="S326" s="2" t="s">
        <v>19</v>
      </c>
      <c r="T326" s="2" t="s">
        <v>20</v>
      </c>
      <c r="V326" s="2" t="s">
        <v>21</v>
      </c>
      <c r="W326" s="2" t="s">
        <v>22</v>
      </c>
      <c r="X326" s="2" t="s">
        <v>23</v>
      </c>
      <c r="Y326" s="2" t="s">
        <v>24</v>
      </c>
      <c r="Z326" s="2" t="s">
        <v>25</v>
      </c>
      <c r="AA326" s="2" t="s">
        <v>26</v>
      </c>
      <c r="AB326" s="2" t="s">
        <v>27</v>
      </c>
      <c r="AC326" s="2" t="s">
        <v>28</v>
      </c>
      <c r="AD326" s="2" t="s">
        <v>29</v>
      </c>
      <c r="AE326" s="2" t="s">
        <v>30</v>
      </c>
      <c r="AF326" s="2" t="s">
        <v>31</v>
      </c>
      <c r="AG326" s="2" t="s">
        <v>32</v>
      </c>
      <c r="AH326" s="2" t="s">
        <v>33</v>
      </c>
      <c r="AI326" s="2" t="s">
        <v>34</v>
      </c>
      <c r="AJ326" s="2" t="s">
        <v>35</v>
      </c>
      <c r="AK326" s="2" t="s">
        <v>36</v>
      </c>
      <c r="AL326" s="2" t="s">
        <v>37</v>
      </c>
      <c r="AM326" s="2" t="s">
        <v>38</v>
      </c>
      <c r="AN326" s="2" t="s">
        <v>39</v>
      </c>
      <c r="AO326" s="2" t="s">
        <v>40</v>
      </c>
      <c r="AP326" s="2" t="s">
        <v>41</v>
      </c>
      <c r="AQ326" s="2" t="s">
        <v>42</v>
      </c>
      <c r="AR326" s="2" t="s">
        <v>43</v>
      </c>
      <c r="AS326" s="2" t="s">
        <v>44</v>
      </c>
    </row>
    <row r="328" spans="1:45" x14ac:dyDescent="0.2">
      <c r="A328" s="19" t="s">
        <v>206</v>
      </c>
    </row>
    <row r="329" spans="1:45" s="5" customFormat="1" x14ac:dyDescent="0.2">
      <c r="A329" s="23" t="s">
        <v>207</v>
      </c>
      <c r="B329" s="6">
        <v>1273868</v>
      </c>
      <c r="C329" s="6">
        <v>1302241</v>
      </c>
      <c r="D329" s="6">
        <v>1733680</v>
      </c>
      <c r="E329" s="6">
        <v>2007045</v>
      </c>
      <c r="F329" s="6">
        <v>1927475</v>
      </c>
      <c r="V329" s="6">
        <v>325536</v>
      </c>
      <c r="W329" s="6">
        <v>308673</v>
      </c>
      <c r="X329" s="6">
        <v>323784</v>
      </c>
      <c r="Y329" s="4">
        <f t="shared" ref="Y329" si="278">B329-SUM(V329:X329)</f>
        <v>315875</v>
      </c>
      <c r="Z329" s="6">
        <v>317893</v>
      </c>
      <c r="AA329" s="6">
        <v>311831</v>
      </c>
      <c r="AB329" s="6">
        <v>317960</v>
      </c>
      <c r="AC329" s="4">
        <f>C329-SUM(Z329:AB329)</f>
        <v>354557</v>
      </c>
      <c r="AD329" s="6">
        <v>372842</v>
      </c>
      <c r="AE329" s="6">
        <v>430617</v>
      </c>
      <c r="AF329" s="6">
        <v>452583</v>
      </c>
      <c r="AG329" s="4">
        <f>D329-SUM(AD329,AE329,AF329)</f>
        <v>477638</v>
      </c>
      <c r="AH329" s="6">
        <v>482096</v>
      </c>
      <c r="AI329" s="6">
        <v>498388</v>
      </c>
      <c r="AJ329" s="6">
        <v>505606</v>
      </c>
      <c r="AK329" s="4">
        <f>E329-SUM(AH329:AJ329)</f>
        <v>520955</v>
      </c>
      <c r="AL329" s="6">
        <v>486212</v>
      </c>
      <c r="AM329" s="6">
        <v>500535</v>
      </c>
      <c r="AN329" s="6">
        <v>477715</v>
      </c>
      <c r="AO329" s="6">
        <f>F329-SUM(AL329:AN329)</f>
        <v>463013</v>
      </c>
      <c r="AP329" s="6">
        <v>454519</v>
      </c>
      <c r="AQ329" s="6">
        <v>448316</v>
      </c>
    </row>
    <row r="330" spans="1:45" s="8" customFormat="1" x14ac:dyDescent="0.2">
      <c r="A330" s="22" t="s">
        <v>60</v>
      </c>
      <c r="B330" s="8">
        <f>B329/B10</f>
        <v>0.64285728704281242</v>
      </c>
      <c r="C330" s="8">
        <f>C329/C10</f>
        <v>0.72525457182255826</v>
      </c>
      <c r="D330" s="8">
        <f>D329/D10</f>
        <v>0.79759554625826901</v>
      </c>
      <c r="E330" s="8">
        <f>E329/E10</f>
        <v>0.8222773581357542</v>
      </c>
      <c r="F330" s="8">
        <f>F329/F10</f>
        <v>0.81424462887283422</v>
      </c>
      <c r="V330" s="8">
        <f t="shared" ref="V330:AS330" si="279">V329/V10</f>
        <v>0.62654405339759112</v>
      </c>
      <c r="W330" s="8">
        <f t="shared" si="279"/>
        <v>0.63070174004724033</v>
      </c>
      <c r="X330" s="8">
        <f t="shared" si="279"/>
        <v>0.66492384212720423</v>
      </c>
      <c r="Y330" s="8">
        <f t="shared" si="279"/>
        <v>0.65043437794072523</v>
      </c>
      <c r="Z330" s="8">
        <f t="shared" si="279"/>
        <v>0.66878238532727718</v>
      </c>
      <c r="AA330" s="8">
        <f t="shared" si="279"/>
        <v>0.72202823919496528</v>
      </c>
      <c r="AB330" s="8">
        <f t="shared" si="279"/>
        <v>0.75550064154350616</v>
      </c>
      <c r="AC330" s="8">
        <f t="shared" si="279"/>
        <v>0.75842529588804919</v>
      </c>
      <c r="AD330" s="8">
        <f t="shared" si="279"/>
        <v>0.75379788038445827</v>
      </c>
      <c r="AE330" s="8">
        <f t="shared" si="279"/>
        <v>0.79586190326575124</v>
      </c>
      <c r="AF330" s="8">
        <f t="shared" si="279"/>
        <v>0.8070713231045773</v>
      </c>
      <c r="AG330" s="8">
        <f t="shared" si="279"/>
        <v>0.82754737314462046</v>
      </c>
      <c r="AH330" s="8">
        <f t="shared" si="279"/>
        <v>0.79891025152375872</v>
      </c>
      <c r="AI330" s="8">
        <f t="shared" si="279"/>
        <v>0.81827838881965753</v>
      </c>
      <c r="AJ330" s="8">
        <f t="shared" si="279"/>
        <v>0.82150644556447028</v>
      </c>
      <c r="AK330" s="8">
        <f t="shared" si="279"/>
        <v>0.85003361267752719</v>
      </c>
      <c r="AL330" s="8">
        <f t="shared" si="279"/>
        <v>0.80080902444367219</v>
      </c>
      <c r="AM330" s="8">
        <f t="shared" si="279"/>
        <v>0.8249294203154125</v>
      </c>
      <c r="AN330" s="8">
        <f t="shared" si="279"/>
        <v>0.82134536857941109</v>
      </c>
      <c r="AO330" s="8">
        <f t="shared" si="279"/>
        <v>0.80994897289808399</v>
      </c>
      <c r="AP330" s="8">
        <f t="shared" si="279"/>
        <v>0.77433209195511954</v>
      </c>
      <c r="AQ330" s="8">
        <f t="shared" si="279"/>
        <v>0.79643703522105092</v>
      </c>
      <c r="AR330" s="8" t="e">
        <f t="shared" si="279"/>
        <v>#DIV/0!</v>
      </c>
      <c r="AS330" s="8" t="e">
        <f t="shared" si="279"/>
        <v>#DIV/0!</v>
      </c>
    </row>
    <row r="331" spans="1:45" s="5" customFormat="1" x14ac:dyDescent="0.2">
      <c r="A331" s="23" t="s">
        <v>208</v>
      </c>
      <c r="B331" s="6">
        <v>568008</v>
      </c>
      <c r="C331" s="6">
        <v>391556</v>
      </c>
      <c r="D331" s="6">
        <v>340854</v>
      </c>
      <c r="E331" s="6">
        <v>338997</v>
      </c>
      <c r="F331" s="6">
        <v>318510</v>
      </c>
      <c r="V331" s="6">
        <v>160369</v>
      </c>
      <c r="W331" s="6">
        <v>150851</v>
      </c>
      <c r="X331" s="6">
        <v>126548</v>
      </c>
      <c r="Y331" s="4">
        <f t="shared" ref="Y331" si="280">B331-SUM(V331:X331)</f>
        <v>130240</v>
      </c>
      <c r="Z331" s="6">
        <v>129306</v>
      </c>
      <c r="AA331" s="6">
        <v>96921</v>
      </c>
      <c r="AB331" s="6">
        <v>80735</v>
      </c>
      <c r="AC331" s="4">
        <f>C331-SUM(Z331:AB331)</f>
        <v>84594</v>
      </c>
      <c r="AD331" s="6">
        <v>98744</v>
      </c>
      <c r="AE331" s="6">
        <v>85676</v>
      </c>
      <c r="AF331" s="6">
        <v>81394</v>
      </c>
      <c r="AG331" s="4">
        <f>D331-SUM(AD331,AE331,AF331)</f>
        <v>75040</v>
      </c>
      <c r="AH331" s="6">
        <v>98656</v>
      </c>
      <c r="AI331" s="6">
        <v>86781</v>
      </c>
      <c r="AJ331" s="6">
        <v>86670</v>
      </c>
      <c r="AK331" s="4">
        <f>E331-SUM(AH331:AJ331)</f>
        <v>66890</v>
      </c>
      <c r="AL331" s="6">
        <v>96326</v>
      </c>
      <c r="AM331" s="6">
        <v>78579</v>
      </c>
      <c r="AN331" s="6">
        <v>75202</v>
      </c>
      <c r="AO331" s="6">
        <f>F331-SUM(AL331:AN331)</f>
        <v>68403</v>
      </c>
      <c r="AP331" s="6">
        <v>101207</v>
      </c>
      <c r="AQ331" s="6">
        <v>83894</v>
      </c>
    </row>
    <row r="332" spans="1:45" s="8" customFormat="1" x14ac:dyDescent="0.2">
      <c r="A332" s="22" t="s">
        <v>60</v>
      </c>
      <c r="B332" s="8">
        <f>B331/B10</f>
        <v>0.28664514839733302</v>
      </c>
      <c r="C332" s="8">
        <f>C331/C10</f>
        <v>0.21806852888563147</v>
      </c>
      <c r="D332" s="8">
        <f>D331/D10</f>
        <v>0.1568130406558973</v>
      </c>
      <c r="E332" s="8">
        <f>E331/E10</f>
        <v>0.13888555442251982</v>
      </c>
      <c r="F332" s="8">
        <f>F331/F10</f>
        <v>0.1345517097458003</v>
      </c>
      <c r="V332" s="8">
        <f t="shared" ref="V332:AS332" si="281">V331/V10</f>
        <v>0.30865478257187617</v>
      </c>
      <c r="W332" s="8">
        <f t="shared" si="281"/>
        <v>0.30822905854372185</v>
      </c>
      <c r="X332" s="8">
        <f t="shared" si="281"/>
        <v>0.25987937135100392</v>
      </c>
      <c r="Y332" s="8">
        <f t="shared" si="281"/>
        <v>0.26818384925366068</v>
      </c>
      <c r="Z332" s="8">
        <f t="shared" si="281"/>
        <v>0.27203359343278682</v>
      </c>
      <c r="AA332" s="8">
        <f t="shared" si="281"/>
        <v>0.22441546533543885</v>
      </c>
      <c r="AB332" s="8">
        <f t="shared" si="281"/>
        <v>0.19183338877536474</v>
      </c>
      <c r="AC332" s="8">
        <f t="shared" si="281"/>
        <v>0.180953216211649</v>
      </c>
      <c r="AD332" s="8">
        <f t="shared" si="281"/>
        <v>0.19963689150010716</v>
      </c>
      <c r="AE332" s="8">
        <f t="shared" si="281"/>
        <v>0.15834550058217975</v>
      </c>
      <c r="AF332" s="8">
        <f t="shared" si="281"/>
        <v>0.14514633398243851</v>
      </c>
      <c r="AG332" s="8">
        <f t="shared" si="281"/>
        <v>0.13001301169666635</v>
      </c>
      <c r="AH332" s="8">
        <f t="shared" si="281"/>
        <v>0.16348878599766009</v>
      </c>
      <c r="AI332" s="8">
        <f t="shared" si="281"/>
        <v>0.14248139373371491</v>
      </c>
      <c r="AJ332" s="8">
        <f t="shared" si="281"/>
        <v>0.14082104175399943</v>
      </c>
      <c r="AK332" s="8">
        <f t="shared" si="281"/>
        <v>0.10914330096073517</v>
      </c>
      <c r="AL332" s="8">
        <f t="shared" si="281"/>
        <v>0.15865246042582487</v>
      </c>
      <c r="AM332" s="8">
        <f t="shared" si="281"/>
        <v>0.12950568675310378</v>
      </c>
      <c r="AN332" s="8">
        <f t="shared" si="281"/>
        <v>0.12929636793466581</v>
      </c>
      <c r="AO332" s="8">
        <f t="shared" si="281"/>
        <v>0.1196574169475752</v>
      </c>
      <c r="AP332" s="8">
        <f t="shared" si="281"/>
        <v>0.17241925646783035</v>
      </c>
      <c r="AQ332" s="8">
        <f t="shared" si="281"/>
        <v>0.14903837612941506</v>
      </c>
      <c r="AR332" s="8" t="e">
        <f t="shared" si="281"/>
        <v>#DIV/0!</v>
      </c>
      <c r="AS332" s="8" t="e">
        <f t="shared" si="281"/>
        <v>#DIV/0!</v>
      </c>
    </row>
    <row r="333" spans="1:45" s="5" customFormat="1" x14ac:dyDescent="0.2">
      <c r="A333" s="23" t="s">
        <v>209</v>
      </c>
      <c r="B333" s="6">
        <v>139696</v>
      </c>
      <c r="C333" s="6">
        <v>101767</v>
      </c>
      <c r="D333" s="6">
        <v>99099</v>
      </c>
      <c r="E333" s="6">
        <v>94795</v>
      </c>
      <c r="F333" s="6">
        <v>121209</v>
      </c>
      <c r="V333" s="6">
        <v>33669</v>
      </c>
      <c r="W333" s="6">
        <v>29888</v>
      </c>
      <c r="X333" s="6">
        <v>36617</v>
      </c>
      <c r="Y333" s="4">
        <f t="shared" ref="Y333" si="282">B333-SUM(V333:X333)</f>
        <v>39522</v>
      </c>
      <c r="Z333" s="6">
        <v>28132</v>
      </c>
      <c r="AA333" s="6">
        <v>23130</v>
      </c>
      <c r="AB333" s="6">
        <v>22165</v>
      </c>
      <c r="AC333" s="4">
        <f>C333-SUM(Z333:AB333)</f>
        <v>28340</v>
      </c>
      <c r="AD333" s="6">
        <v>23032</v>
      </c>
      <c r="AE333" s="6">
        <v>24777</v>
      </c>
      <c r="AF333" s="6">
        <v>26795</v>
      </c>
      <c r="AG333" s="4">
        <f>D333-SUM(AD333,AE333,AF333)</f>
        <v>24495</v>
      </c>
      <c r="AH333" s="6">
        <v>22690</v>
      </c>
      <c r="AI333" s="6">
        <v>23900</v>
      </c>
      <c r="AJ333" s="6">
        <v>23186</v>
      </c>
      <c r="AK333" s="4">
        <f>E333-SUM(AH333:AJ333)</f>
        <v>25019</v>
      </c>
      <c r="AL333" s="6">
        <v>24613</v>
      </c>
      <c r="AM333" s="6">
        <v>27647</v>
      </c>
      <c r="AN333" s="6">
        <v>28708</v>
      </c>
      <c r="AO333" s="6">
        <f>F333-SUM(AL333:AN333)</f>
        <v>40241</v>
      </c>
      <c r="AP333" s="6">
        <v>31256</v>
      </c>
      <c r="AQ333" s="6">
        <v>30692</v>
      </c>
    </row>
    <row r="334" spans="1:45" s="8" customFormat="1" x14ac:dyDescent="0.2">
      <c r="A334" s="22" t="s">
        <v>60</v>
      </c>
      <c r="B334" s="8">
        <f>B333/B10</f>
        <v>7.0497564559854495E-2</v>
      </c>
      <c r="C334" s="8">
        <f>C333/C10</f>
        <v>5.6676899291810259E-2</v>
      </c>
      <c r="D334" s="8">
        <f>D333/D10</f>
        <v>4.5591413085833719E-2</v>
      </c>
      <c r="E334" s="8">
        <f>E333/E10</f>
        <v>3.8837087441725933E-2</v>
      </c>
      <c r="F334" s="8">
        <f>F333/F10</f>
        <v>5.1203661381365451E-2</v>
      </c>
      <c r="V334" s="8">
        <f t="shared" ref="V334:AS334" si="283">V333/V10</f>
        <v>6.480116403053271E-2</v>
      </c>
      <c r="W334" s="8">
        <f t="shared" si="283"/>
        <v>6.1069201409037786E-2</v>
      </c>
      <c r="X334" s="8">
        <f t="shared" si="283"/>
        <v>7.5196786521791806E-2</v>
      </c>
      <c r="Y334" s="8">
        <f t="shared" si="283"/>
        <v>8.1381772805614067E-2</v>
      </c>
      <c r="Z334" s="8">
        <f t="shared" si="283"/>
        <v>5.9184021239935963E-2</v>
      </c>
      <c r="AA334" s="8">
        <f t="shared" si="283"/>
        <v>5.3556295469595859E-2</v>
      </c>
      <c r="AB334" s="8">
        <f t="shared" si="283"/>
        <v>5.2665969681129118E-2</v>
      </c>
      <c r="AC334" s="8">
        <f t="shared" si="283"/>
        <v>6.0621487900301821E-2</v>
      </c>
      <c r="AD334" s="8">
        <f t="shared" si="283"/>
        <v>4.6565228115434537E-2</v>
      </c>
      <c r="AE334" s="8">
        <f t="shared" si="283"/>
        <v>4.579259615206905E-2</v>
      </c>
      <c r="AF334" s="8">
        <f t="shared" si="283"/>
        <v>4.7782342912984242E-2</v>
      </c>
      <c r="AG334" s="8">
        <f t="shared" si="283"/>
        <v>4.2439615158713244E-2</v>
      </c>
      <c r="AH334" s="8">
        <f t="shared" si="283"/>
        <v>3.7600962478581204E-2</v>
      </c>
      <c r="AI334" s="8">
        <f t="shared" si="283"/>
        <v>3.9240217446627555E-2</v>
      </c>
      <c r="AJ334" s="8">
        <f t="shared" si="283"/>
        <v>3.7672512681530296E-2</v>
      </c>
      <c r="AK334" s="8">
        <f t="shared" si="283"/>
        <v>4.0823086361737676E-2</v>
      </c>
      <c r="AL334" s="8">
        <f t="shared" si="283"/>
        <v>4.0538515130502953E-2</v>
      </c>
      <c r="AM334" s="8">
        <f t="shared" si="283"/>
        <v>4.5564892931483733E-2</v>
      </c>
      <c r="AN334" s="8">
        <f t="shared" si="283"/>
        <v>4.9358263485923058E-2</v>
      </c>
      <c r="AO334" s="8">
        <f t="shared" si="283"/>
        <v>7.0393610154340799E-2</v>
      </c>
      <c r="AP334" s="8">
        <f t="shared" si="283"/>
        <v>5.3248651577050062E-2</v>
      </c>
      <c r="AQ334" s="8">
        <f t="shared" si="283"/>
        <v>5.4524588649534023E-2</v>
      </c>
      <c r="AR334" s="8" t="e">
        <f t="shared" si="283"/>
        <v>#DIV/0!</v>
      </c>
      <c r="AS334" s="8" t="e">
        <f t="shared" si="283"/>
        <v>#DIV/0!</v>
      </c>
    </row>
    <row r="335" spans="1:45" x14ac:dyDescent="0.2">
      <c r="A335" s="21" t="s">
        <v>210</v>
      </c>
      <c r="B335" s="7">
        <f>SUM(B333,B331,B329)</f>
        <v>1981572</v>
      </c>
      <c r="C335" s="7">
        <f>SUM(C333,C331,C329)</f>
        <v>1795564</v>
      </c>
      <c r="D335" s="7">
        <f>SUM(D333,D331,D329)</f>
        <v>2173633</v>
      </c>
      <c r="E335" s="7">
        <f>SUM(E333,E331,E329)</f>
        <v>2440837</v>
      </c>
      <c r="F335" s="7">
        <f>SUM(F333,F331,F329)</f>
        <v>2367194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7">
        <f>SUM(V333,V331,V329)</f>
        <v>519574</v>
      </c>
      <c r="W335" s="7">
        <f>SUM(W333,W331,W329)</f>
        <v>489412</v>
      </c>
      <c r="X335" s="7">
        <f>SUM(X333,X331,X329)</f>
        <v>486949</v>
      </c>
      <c r="Y335" s="7">
        <f t="shared" ref="Y335:AS335" si="284">SUM(Y333,Y331,Y329)</f>
        <v>485637</v>
      </c>
      <c r="Z335" s="7">
        <f t="shared" si="284"/>
        <v>475331</v>
      </c>
      <c r="AA335" s="7">
        <f t="shared" si="284"/>
        <v>431882</v>
      </c>
      <c r="AB335" s="7">
        <f t="shared" si="284"/>
        <v>420860</v>
      </c>
      <c r="AC335" s="7">
        <f t="shared" si="284"/>
        <v>467491</v>
      </c>
      <c r="AD335" s="7">
        <f t="shared" si="284"/>
        <v>494618</v>
      </c>
      <c r="AE335" s="7">
        <f t="shared" si="284"/>
        <v>541070</v>
      </c>
      <c r="AF335" s="7">
        <f t="shared" si="284"/>
        <v>560772</v>
      </c>
      <c r="AG335" s="7">
        <f t="shared" si="284"/>
        <v>577173</v>
      </c>
      <c r="AH335" s="7">
        <f t="shared" si="284"/>
        <v>603442</v>
      </c>
      <c r="AI335" s="7">
        <f t="shared" si="284"/>
        <v>609069</v>
      </c>
      <c r="AJ335" s="7">
        <f t="shared" si="284"/>
        <v>615462</v>
      </c>
      <c r="AK335" s="7">
        <f t="shared" si="284"/>
        <v>612864</v>
      </c>
      <c r="AL335" s="7">
        <f t="shared" si="284"/>
        <v>607151</v>
      </c>
      <c r="AM335" s="7">
        <f t="shared" si="284"/>
        <v>606761</v>
      </c>
      <c r="AN335" s="7">
        <f t="shared" si="284"/>
        <v>581625</v>
      </c>
      <c r="AO335" s="7">
        <f t="shared" si="284"/>
        <v>571657</v>
      </c>
      <c r="AP335" s="7">
        <f t="shared" si="284"/>
        <v>586982</v>
      </c>
      <c r="AQ335" s="7">
        <f t="shared" si="284"/>
        <v>562902</v>
      </c>
      <c r="AR335" s="7">
        <f t="shared" si="284"/>
        <v>0</v>
      </c>
      <c r="AS335" s="7">
        <f t="shared" si="284"/>
        <v>0</v>
      </c>
    </row>
    <row r="336" spans="1:45" x14ac:dyDescent="0.2">
      <c r="V336" s="4"/>
    </row>
    <row r="337" spans="1:45" x14ac:dyDescent="0.2">
      <c r="A337" s="19" t="s">
        <v>251</v>
      </c>
    </row>
    <row r="338" spans="1:45" s="5" customFormat="1" x14ac:dyDescent="0.2">
      <c r="A338" s="25" t="s">
        <v>243</v>
      </c>
      <c r="B338" s="6">
        <v>2755</v>
      </c>
      <c r="C338" s="6">
        <v>2505</v>
      </c>
      <c r="D338" s="6">
        <v>2155</v>
      </c>
      <c r="E338" s="6">
        <v>2698</v>
      </c>
      <c r="F338" s="6">
        <v>2101</v>
      </c>
      <c r="V338" s="5">
        <v>688</v>
      </c>
      <c r="W338" s="5">
        <v>596</v>
      </c>
      <c r="X338" s="5">
        <v>395</v>
      </c>
      <c r="Y338" s="4">
        <f t="shared" ref="Y338" si="285">B338-SUM(V338:X338)</f>
        <v>1076</v>
      </c>
      <c r="Z338" s="5">
        <v>417</v>
      </c>
      <c r="AA338" s="5">
        <v>612</v>
      </c>
      <c r="AB338" s="5">
        <v>578</v>
      </c>
      <c r="AC338" s="4">
        <f>C338-SUM(Z338:AB338)</f>
        <v>898</v>
      </c>
      <c r="AD338" s="5">
        <v>428</v>
      </c>
      <c r="AE338" s="5">
        <v>475</v>
      </c>
      <c r="AF338" s="5">
        <v>413</v>
      </c>
      <c r="AG338" s="4">
        <f>D338-SUM(AD338,AE338,AF338)</f>
        <v>839</v>
      </c>
      <c r="AH338" s="5">
        <v>361</v>
      </c>
      <c r="AI338" s="5">
        <v>447</v>
      </c>
      <c r="AJ338" s="5">
        <v>487</v>
      </c>
      <c r="AK338" s="4">
        <f>E338-SUM(AH338:AJ338)</f>
        <v>1403</v>
      </c>
      <c r="AL338" s="5">
        <v>530</v>
      </c>
      <c r="AM338" s="5">
        <v>454</v>
      </c>
      <c r="AN338" s="5">
        <v>380</v>
      </c>
      <c r="AO338" s="6">
        <f>F338-SUM(AL338:AN338)</f>
        <v>737</v>
      </c>
      <c r="AP338" s="5">
        <v>476</v>
      </c>
      <c r="AQ338" s="5">
        <v>550</v>
      </c>
    </row>
    <row r="339" spans="1:45" s="5" customFormat="1" x14ac:dyDescent="0.2">
      <c r="A339" s="23" t="s">
        <v>211</v>
      </c>
      <c r="B339" s="6">
        <v>4017</v>
      </c>
      <c r="C339" s="6">
        <v>4619</v>
      </c>
      <c r="D339" s="6">
        <v>4511</v>
      </c>
      <c r="E339" s="6">
        <v>4734</v>
      </c>
      <c r="F339" s="6">
        <v>4501</v>
      </c>
      <c r="V339" s="6">
        <v>3421</v>
      </c>
      <c r="W339" s="6">
        <v>3530</v>
      </c>
      <c r="X339" s="6">
        <v>3433</v>
      </c>
      <c r="Y339" s="4">
        <f>B339</f>
        <v>4017</v>
      </c>
      <c r="Z339" s="6">
        <v>3897</v>
      </c>
      <c r="AA339" s="6">
        <v>4063</v>
      </c>
      <c r="AB339" s="6">
        <v>4201</v>
      </c>
      <c r="AC339" s="4">
        <f>C339</f>
        <v>4619</v>
      </c>
      <c r="AD339" s="6">
        <v>4558</v>
      </c>
      <c r="AE339" s="6">
        <v>4493</v>
      </c>
      <c r="AF339" s="6">
        <v>4337</v>
      </c>
      <c r="AG339" s="4">
        <f>D339</f>
        <v>4511</v>
      </c>
      <c r="AH339" s="6">
        <v>4272</v>
      </c>
      <c r="AI339" s="6">
        <v>4093</v>
      </c>
      <c r="AJ339" s="6">
        <v>3970</v>
      </c>
      <c r="AK339" s="4">
        <f>E339</f>
        <v>4734</v>
      </c>
      <c r="AL339" s="6">
        <v>4659</v>
      </c>
      <c r="AM339" s="6">
        <v>4514</v>
      </c>
      <c r="AN339" s="6">
        <v>4311</v>
      </c>
      <c r="AO339" s="6">
        <f>F339</f>
        <v>4501</v>
      </c>
      <c r="AP339" s="6">
        <v>4433</v>
      </c>
      <c r="AQ339" s="6">
        <v>4410</v>
      </c>
    </row>
    <row r="340" spans="1:45" s="5" customFormat="1" x14ac:dyDescent="0.2">
      <c r="A340" s="25" t="s">
        <v>244</v>
      </c>
      <c r="B340" s="6">
        <v>1539</v>
      </c>
      <c r="C340" s="6">
        <v>2052</v>
      </c>
      <c r="D340" s="6">
        <v>2032</v>
      </c>
      <c r="E340" s="6">
        <v>1767</v>
      </c>
      <c r="F340" s="6">
        <v>1632</v>
      </c>
      <c r="V340" s="5">
        <v>1293</v>
      </c>
      <c r="W340" s="6">
        <v>1378</v>
      </c>
      <c r="X340" s="6">
        <v>1442</v>
      </c>
      <c r="Y340" s="4">
        <f>B340</f>
        <v>1539</v>
      </c>
      <c r="Z340" s="6">
        <v>1557</v>
      </c>
      <c r="AA340" s="6">
        <v>1746</v>
      </c>
      <c r="AB340" s="6">
        <v>1612</v>
      </c>
      <c r="AC340" s="4">
        <f>C340</f>
        <v>2052</v>
      </c>
      <c r="AD340" s="6">
        <v>1897</v>
      </c>
      <c r="AE340" s="6">
        <v>2008</v>
      </c>
      <c r="AF340" s="6">
        <v>2022</v>
      </c>
      <c r="AG340" s="4">
        <f>D340</f>
        <v>2032</v>
      </c>
      <c r="AH340" s="6">
        <v>1927</v>
      </c>
      <c r="AI340" s="6">
        <v>1809</v>
      </c>
      <c r="AJ340" s="6">
        <v>1716</v>
      </c>
      <c r="AK340" s="4">
        <f>E340</f>
        <v>1767</v>
      </c>
      <c r="AL340" s="6">
        <v>1593</v>
      </c>
      <c r="AM340" s="6">
        <v>1544</v>
      </c>
      <c r="AN340" s="6">
        <v>1475</v>
      </c>
      <c r="AO340" s="6">
        <f>F340</f>
        <v>1632</v>
      </c>
      <c r="AP340" s="6">
        <v>1605</v>
      </c>
      <c r="AQ340" s="6">
        <v>1680</v>
      </c>
    </row>
    <row r="341" spans="1:45" x14ac:dyDescent="0.2">
      <c r="A341" s="20" t="s">
        <v>265</v>
      </c>
      <c r="B341" s="9">
        <f>B338/(B10/1000)</f>
        <v>1.3903103192818631</v>
      </c>
      <c r="C341" s="9">
        <f>C338/(C10/1000)</f>
        <v>1.3951048250020606</v>
      </c>
      <c r="D341" s="9">
        <f>D338/(D10/1000)</f>
        <v>0.99142771571833888</v>
      </c>
      <c r="E341" s="9">
        <f>E338/(E10/1000)</f>
        <v>1.1053585307007392</v>
      </c>
      <c r="F341" s="9">
        <f>F338/(F10/1000)</f>
        <v>0.88754871801804158</v>
      </c>
      <c r="V341" s="9">
        <f t="shared" ref="V341:AS341" si="286">V338/(V10/1000)</f>
        <v>1.3241617170990081</v>
      </c>
      <c r="W341" s="9">
        <f t="shared" si="286"/>
        <v>1.2177878760635212</v>
      </c>
      <c r="X341" s="9">
        <f t="shared" si="286"/>
        <v>0.81117324401528701</v>
      </c>
      <c r="Y341" s="9">
        <f t="shared" si="286"/>
        <v>2.2156466661312875</v>
      </c>
      <c r="Z341" s="9">
        <f t="shared" si="286"/>
        <v>0.87728340882458744</v>
      </c>
      <c r="AA341" s="9">
        <f t="shared" si="286"/>
        <v>1.4170537322694625</v>
      </c>
      <c r="AB341" s="9">
        <f t="shared" si="286"/>
        <v>1.3733783205816661</v>
      </c>
      <c r="AC341" s="9">
        <f t="shared" si="286"/>
        <v>1.9208925947237487</v>
      </c>
      <c r="AD341" s="9">
        <f t="shared" si="286"/>
        <v>0.86531424250633826</v>
      </c>
      <c r="AE341" s="9">
        <f t="shared" si="286"/>
        <v>0.87789010664054545</v>
      </c>
      <c r="AF341" s="9">
        <f t="shared" si="286"/>
        <v>0.73648470323054638</v>
      </c>
      <c r="AG341" s="9">
        <f t="shared" si="286"/>
        <v>1.4536369511394331</v>
      </c>
      <c r="AH341" s="9">
        <f t="shared" si="286"/>
        <v>0.59823479307041938</v>
      </c>
      <c r="AI341" s="9">
        <f t="shared" si="286"/>
        <v>0.73390699575910123</v>
      </c>
      <c r="AJ341" s="9">
        <f t="shared" si="286"/>
        <v>0.7912754971062389</v>
      </c>
      <c r="AK341" s="9">
        <f t="shared" si="286"/>
        <v>2.289251775271512</v>
      </c>
      <c r="AL341" s="9">
        <f t="shared" si="286"/>
        <v>0.87292946894594592</v>
      </c>
      <c r="AM341" s="9">
        <f t="shared" si="286"/>
        <v>0.74823530187339005</v>
      </c>
      <c r="AN341" s="9">
        <f t="shared" si="286"/>
        <v>0.65334192993767459</v>
      </c>
      <c r="AO341" s="9">
        <f t="shared" si="286"/>
        <v>1.2892346284572742</v>
      </c>
      <c r="AP341" s="9">
        <f t="shared" si="286"/>
        <v>0.81092776269118994</v>
      </c>
      <c r="AQ341" s="9">
        <f t="shared" si="286"/>
        <v>0.97707949163442298</v>
      </c>
      <c r="AR341" s="9" t="e">
        <f t="shared" si="286"/>
        <v>#DIV/0!</v>
      </c>
      <c r="AS341" s="9" t="e">
        <f t="shared" si="286"/>
        <v>#DIV/0!</v>
      </c>
    </row>
    <row r="342" spans="1:45" s="33" customFormat="1" ht="14" x14ac:dyDescent="0.15">
      <c r="A342" s="32" t="s">
        <v>264</v>
      </c>
      <c r="C342" s="34">
        <f>B339+C338-C339</f>
        <v>1903</v>
      </c>
      <c r="D342" s="34">
        <f>C339+D338-D339</f>
        <v>2263</v>
      </c>
      <c r="E342" s="34">
        <f>D339+E338-E339</f>
        <v>2475</v>
      </c>
      <c r="F342" s="34">
        <f>E339+F338-F339</f>
        <v>2334</v>
      </c>
      <c r="W342" s="34">
        <f>V339+W338-W339</f>
        <v>487</v>
      </c>
      <c r="X342" s="34">
        <f>W339+X338-X339</f>
        <v>492</v>
      </c>
      <c r="Y342" s="34">
        <f t="shared" ref="Y342:AQ342" si="287">X339+Y338-Y339</f>
        <v>492</v>
      </c>
      <c r="Z342" s="34">
        <f t="shared" si="287"/>
        <v>537</v>
      </c>
      <c r="AA342" s="34">
        <f t="shared" si="287"/>
        <v>446</v>
      </c>
      <c r="AB342" s="34">
        <f t="shared" si="287"/>
        <v>440</v>
      </c>
      <c r="AC342" s="34">
        <f t="shared" si="287"/>
        <v>480</v>
      </c>
      <c r="AD342" s="34">
        <f t="shared" si="287"/>
        <v>489</v>
      </c>
      <c r="AE342" s="34">
        <f t="shared" si="287"/>
        <v>540</v>
      </c>
      <c r="AF342" s="34">
        <f t="shared" si="287"/>
        <v>569</v>
      </c>
      <c r="AG342" s="34">
        <f t="shared" si="287"/>
        <v>665</v>
      </c>
      <c r="AH342" s="34">
        <f t="shared" si="287"/>
        <v>600</v>
      </c>
      <c r="AI342" s="34">
        <f t="shared" si="287"/>
        <v>626</v>
      </c>
      <c r="AJ342" s="34">
        <f t="shared" si="287"/>
        <v>610</v>
      </c>
      <c r="AK342" s="34">
        <f t="shared" si="287"/>
        <v>639</v>
      </c>
      <c r="AL342" s="34">
        <f t="shared" si="287"/>
        <v>605</v>
      </c>
      <c r="AM342" s="34">
        <f t="shared" si="287"/>
        <v>599</v>
      </c>
      <c r="AN342" s="34">
        <f t="shared" si="287"/>
        <v>583</v>
      </c>
      <c r="AO342" s="34">
        <f t="shared" si="287"/>
        <v>547</v>
      </c>
      <c r="AP342" s="34">
        <f t="shared" si="287"/>
        <v>544</v>
      </c>
      <c r="AQ342" s="34">
        <f t="shared" si="287"/>
        <v>573</v>
      </c>
    </row>
    <row r="344" spans="1:45" x14ac:dyDescent="0.2">
      <c r="A344" s="19" t="s">
        <v>212</v>
      </c>
    </row>
    <row r="345" spans="1:45" x14ac:dyDescent="0.2">
      <c r="A345" s="23" t="s">
        <v>213</v>
      </c>
      <c r="B345" s="4">
        <f>B67</f>
        <v>162579</v>
      </c>
      <c r="C345" s="4">
        <f>C67</f>
        <v>202007</v>
      </c>
      <c r="D345" s="4">
        <f>D67</f>
        <v>302049</v>
      </c>
      <c r="E345" s="4">
        <f>E67</f>
        <v>1051237</v>
      </c>
      <c r="F345" s="4">
        <f>F67</f>
        <v>1020397</v>
      </c>
      <c r="V345" s="4">
        <f t="shared" ref="V345:AS345" si="288">V67</f>
        <v>574592</v>
      </c>
      <c r="W345" s="4">
        <f t="shared" si="288"/>
        <v>207131</v>
      </c>
      <c r="X345" s="4">
        <f t="shared" si="288"/>
        <v>188691</v>
      </c>
      <c r="Y345" s="4">
        <f t="shared" si="288"/>
        <v>162579</v>
      </c>
      <c r="Z345" s="4">
        <f t="shared" si="288"/>
        <v>203997</v>
      </c>
      <c r="AA345" s="4">
        <f t="shared" si="288"/>
        <v>208500</v>
      </c>
      <c r="AB345" s="4">
        <f t="shared" si="288"/>
        <v>215413</v>
      </c>
      <c r="AC345" s="4">
        <f t="shared" si="288"/>
        <v>202007</v>
      </c>
      <c r="AD345" s="4">
        <f t="shared" si="288"/>
        <v>196013</v>
      </c>
      <c r="AE345" s="4">
        <f t="shared" si="288"/>
        <v>232787</v>
      </c>
      <c r="AF345" s="4">
        <f t="shared" si="288"/>
        <v>254771</v>
      </c>
      <c r="AG345" s="4">
        <f t="shared" si="288"/>
        <v>302049</v>
      </c>
      <c r="AH345" s="4">
        <f t="shared" si="288"/>
        <v>300606</v>
      </c>
      <c r="AI345" s="4">
        <f t="shared" si="288"/>
        <v>920639</v>
      </c>
      <c r="AJ345" s="4">
        <f t="shared" si="288"/>
        <v>982507</v>
      </c>
      <c r="AK345" s="4">
        <f t="shared" si="288"/>
        <v>1051237</v>
      </c>
      <c r="AL345" s="4">
        <f t="shared" si="288"/>
        <v>1123267</v>
      </c>
      <c r="AM345" s="4">
        <f t="shared" si="288"/>
        <v>1224257</v>
      </c>
      <c r="AN345" s="4">
        <f t="shared" si="288"/>
        <v>1331944</v>
      </c>
      <c r="AO345" s="4">
        <f t="shared" si="288"/>
        <v>1020397</v>
      </c>
      <c r="AP345" s="4">
        <f t="shared" si="288"/>
        <v>712850</v>
      </c>
      <c r="AQ345" s="4">
        <f t="shared" si="288"/>
        <v>745229</v>
      </c>
      <c r="AR345" s="4">
        <f t="shared" si="288"/>
        <v>0</v>
      </c>
      <c r="AS345" s="4">
        <f t="shared" si="288"/>
        <v>0</v>
      </c>
    </row>
    <row r="346" spans="1:45" x14ac:dyDescent="0.2">
      <c r="A346" s="23" t="s">
        <v>214</v>
      </c>
      <c r="B346" s="4">
        <f>SUM(B97,B90)</f>
        <v>450228</v>
      </c>
      <c r="C346" s="4">
        <f>SUM(C97,C90)</f>
        <v>452526</v>
      </c>
      <c r="D346" s="4">
        <f>SUM(D97,D90)</f>
        <v>454827</v>
      </c>
      <c r="E346" s="4">
        <f>SUM(E97,E90)</f>
        <v>1242424</v>
      </c>
      <c r="F346" s="4">
        <f>SUM(F97,F90)</f>
        <v>1248327</v>
      </c>
      <c r="V346" s="4">
        <f t="shared" ref="V346:AS346" si="289">SUM(V97,V90)</f>
        <v>896531</v>
      </c>
      <c r="W346" s="4">
        <f t="shared" si="289"/>
        <v>479034</v>
      </c>
      <c r="X346" s="4">
        <f t="shared" si="289"/>
        <v>449629</v>
      </c>
      <c r="Y346" s="4">
        <f t="shared" si="289"/>
        <v>450228</v>
      </c>
      <c r="Z346" s="4">
        <f t="shared" si="289"/>
        <v>450795</v>
      </c>
      <c r="AA346" s="4">
        <f t="shared" si="289"/>
        <v>451369</v>
      </c>
      <c r="AB346" s="4">
        <f t="shared" si="289"/>
        <v>451947</v>
      </c>
      <c r="AC346" s="4">
        <f t="shared" si="289"/>
        <v>452526</v>
      </c>
      <c r="AD346" s="4">
        <f t="shared" si="289"/>
        <v>453094</v>
      </c>
      <c r="AE346" s="4">
        <f t="shared" si="289"/>
        <v>453667</v>
      </c>
      <c r="AF346" s="4">
        <f t="shared" si="289"/>
        <v>454247</v>
      </c>
      <c r="AG346" s="4">
        <f t="shared" si="289"/>
        <v>454827</v>
      </c>
      <c r="AH346" s="4">
        <f t="shared" si="289"/>
        <v>455400</v>
      </c>
      <c r="AI346" s="4">
        <f t="shared" si="289"/>
        <v>1239772</v>
      </c>
      <c r="AJ346" s="4">
        <f t="shared" si="289"/>
        <v>1240950</v>
      </c>
      <c r="AK346" s="4">
        <f t="shared" si="289"/>
        <v>1242424</v>
      </c>
      <c r="AL346" s="4">
        <f t="shared" si="289"/>
        <v>1243884</v>
      </c>
      <c r="AM346" s="4">
        <f t="shared" si="289"/>
        <v>1245357</v>
      </c>
      <c r="AN346" s="4">
        <f t="shared" si="289"/>
        <v>1246834</v>
      </c>
      <c r="AO346" s="4">
        <f t="shared" si="289"/>
        <v>1248327</v>
      </c>
      <c r="AP346" s="4">
        <f t="shared" si="289"/>
        <v>1573835</v>
      </c>
      <c r="AQ346" s="4">
        <f t="shared" si="289"/>
        <v>1575242</v>
      </c>
      <c r="AR346" s="4">
        <f t="shared" si="289"/>
        <v>0</v>
      </c>
      <c r="AS346" s="4">
        <f t="shared" si="289"/>
        <v>0</v>
      </c>
    </row>
    <row r="347" spans="1:45" x14ac:dyDescent="0.2">
      <c r="A347" s="21" t="s">
        <v>215</v>
      </c>
      <c r="B347" s="7">
        <f>B345-B346</f>
        <v>-287649</v>
      </c>
      <c r="C347" s="7">
        <f>C345-C346</f>
        <v>-250519</v>
      </c>
      <c r="D347" s="7">
        <f>D345-D346</f>
        <v>-152778</v>
      </c>
      <c r="E347" s="7">
        <f>E345-E346</f>
        <v>-191187</v>
      </c>
      <c r="F347" s="7">
        <f>F345-F346</f>
        <v>-227930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7">
        <f>V345-V346</f>
        <v>-321939</v>
      </c>
      <c r="W347" s="7">
        <f>W345-W346</f>
        <v>-271903</v>
      </c>
      <c r="X347" s="7">
        <f>X345-X346</f>
        <v>-260938</v>
      </c>
      <c r="Y347" s="7">
        <f t="shared" ref="Y347:AS347" si="290">Y345-Y346</f>
        <v>-287649</v>
      </c>
      <c r="Z347" s="7">
        <f t="shared" si="290"/>
        <v>-246798</v>
      </c>
      <c r="AA347" s="7">
        <f t="shared" si="290"/>
        <v>-242869</v>
      </c>
      <c r="AB347" s="7">
        <f t="shared" si="290"/>
        <v>-236534</v>
      </c>
      <c r="AC347" s="7">
        <f t="shared" si="290"/>
        <v>-250519</v>
      </c>
      <c r="AD347" s="7">
        <f t="shared" si="290"/>
        <v>-257081</v>
      </c>
      <c r="AE347" s="7">
        <f t="shared" si="290"/>
        <v>-220880</v>
      </c>
      <c r="AF347" s="7">
        <f t="shared" si="290"/>
        <v>-199476</v>
      </c>
      <c r="AG347" s="7">
        <f t="shared" si="290"/>
        <v>-152778</v>
      </c>
      <c r="AH347" s="7">
        <f t="shared" si="290"/>
        <v>-154794</v>
      </c>
      <c r="AI347" s="7">
        <f t="shared" si="290"/>
        <v>-319133</v>
      </c>
      <c r="AJ347" s="7">
        <f t="shared" si="290"/>
        <v>-258443</v>
      </c>
      <c r="AK347" s="7">
        <f t="shared" si="290"/>
        <v>-191187</v>
      </c>
      <c r="AL347" s="7">
        <f t="shared" si="290"/>
        <v>-120617</v>
      </c>
      <c r="AM347" s="7">
        <f t="shared" si="290"/>
        <v>-21100</v>
      </c>
      <c r="AN347" s="7">
        <f t="shared" si="290"/>
        <v>85110</v>
      </c>
      <c r="AO347" s="7">
        <f t="shared" si="290"/>
        <v>-227930</v>
      </c>
      <c r="AP347" s="7">
        <f t="shared" si="290"/>
        <v>-860985</v>
      </c>
      <c r="AQ347" s="7">
        <f t="shared" si="290"/>
        <v>-830013</v>
      </c>
      <c r="AR347" s="7">
        <f t="shared" si="290"/>
        <v>0</v>
      </c>
      <c r="AS347" s="7">
        <f t="shared" si="290"/>
        <v>0</v>
      </c>
    </row>
    <row r="348" spans="1:45" x14ac:dyDescent="0.2">
      <c r="A348" s="23" t="s">
        <v>216</v>
      </c>
      <c r="B348" s="4">
        <f>B74-B95</f>
        <v>248585</v>
      </c>
      <c r="C348" s="4">
        <f>C74-C95</f>
        <v>331012</v>
      </c>
      <c r="D348" s="4">
        <f>D74-D95</f>
        <v>512202</v>
      </c>
      <c r="E348" s="4">
        <f>E74-E95</f>
        <v>1287627</v>
      </c>
      <c r="F348" s="4">
        <f>F74-F95</f>
        <v>810091</v>
      </c>
      <c r="V348" s="4">
        <f t="shared" ref="V348:AS348" si="291">V74-V95</f>
        <v>350539</v>
      </c>
      <c r="W348" s="4">
        <f t="shared" si="291"/>
        <v>328535</v>
      </c>
      <c r="X348" s="4">
        <f t="shared" si="291"/>
        <v>306633</v>
      </c>
      <c r="Y348" s="4">
        <f t="shared" si="291"/>
        <v>248585</v>
      </c>
      <c r="Z348" s="4">
        <f t="shared" si="291"/>
        <v>290959</v>
      </c>
      <c r="AA348" s="4">
        <f t="shared" si="291"/>
        <v>294898</v>
      </c>
      <c r="AB348" s="4">
        <f t="shared" si="291"/>
        <v>306525</v>
      </c>
      <c r="AC348" s="4">
        <f t="shared" si="291"/>
        <v>331012</v>
      </c>
      <c r="AD348" s="4">
        <f t="shared" si="291"/>
        <v>365501</v>
      </c>
      <c r="AE348" s="4">
        <f t="shared" si="291"/>
        <v>410067</v>
      </c>
      <c r="AF348" s="4">
        <f t="shared" si="291"/>
        <v>453818</v>
      </c>
      <c r="AG348" s="4">
        <f t="shared" si="291"/>
        <v>512202</v>
      </c>
      <c r="AH348" s="4">
        <f t="shared" si="291"/>
        <v>518780</v>
      </c>
      <c r="AI348" s="4">
        <f t="shared" si="291"/>
        <v>1154268</v>
      </c>
      <c r="AJ348" s="4">
        <f t="shared" si="291"/>
        <v>1233063</v>
      </c>
      <c r="AK348" s="4">
        <f t="shared" si="291"/>
        <v>1287627</v>
      </c>
      <c r="AL348" s="4">
        <f t="shared" si="291"/>
        <v>919108</v>
      </c>
      <c r="AM348" s="4">
        <f t="shared" si="291"/>
        <v>1015814</v>
      </c>
      <c r="AN348" s="4">
        <f t="shared" si="291"/>
        <v>1156657</v>
      </c>
      <c r="AO348" s="4">
        <f t="shared" si="291"/>
        <v>810091</v>
      </c>
      <c r="AP348" s="4">
        <f t="shared" si="291"/>
        <v>951059</v>
      </c>
      <c r="AQ348" s="4">
        <f t="shared" si="291"/>
        <v>985296</v>
      </c>
      <c r="AR348" s="4">
        <f t="shared" si="291"/>
        <v>0</v>
      </c>
      <c r="AS348" s="4">
        <f t="shared" si="291"/>
        <v>0</v>
      </c>
    </row>
    <row r="349" spans="1:45" x14ac:dyDescent="0.2">
      <c r="A349" s="22" t="s">
        <v>217</v>
      </c>
      <c r="B349" s="14">
        <f>B74/B95</f>
        <v>1.495837189634263</v>
      </c>
      <c r="C349" s="14">
        <f>C74/C95</f>
        <v>1.6639201559654373</v>
      </c>
      <c r="D349" s="14">
        <f>D74/D95</f>
        <v>1.9534022291879174</v>
      </c>
      <c r="E349" s="14">
        <f>E74/E95</f>
        <v>3.4374641515148645</v>
      </c>
      <c r="F349" s="14">
        <f>F74/F95</f>
        <v>1.8003056626626242</v>
      </c>
      <c r="V349" s="14">
        <f t="shared" ref="V349:AS349" si="292">V74/V95</f>
        <v>1.385393189249331</v>
      </c>
      <c r="W349" s="14">
        <f t="shared" si="292"/>
        <v>1.6387195862860031</v>
      </c>
      <c r="X349" s="14">
        <f t="shared" si="292"/>
        <v>1.6185184587517196</v>
      </c>
      <c r="Y349" s="14">
        <f t="shared" si="292"/>
        <v>1.495837189634263</v>
      </c>
      <c r="Z349" s="14">
        <f t="shared" si="292"/>
        <v>1.5800988101314279</v>
      </c>
      <c r="AA349" s="14">
        <f t="shared" si="292"/>
        <v>1.6394284351351938</v>
      </c>
      <c r="AB349" s="14">
        <f t="shared" si="292"/>
        <v>1.6104652899622995</v>
      </c>
      <c r="AC349" s="14">
        <f t="shared" si="292"/>
        <v>1.6639201559654373</v>
      </c>
      <c r="AD349" s="14">
        <f t="shared" si="292"/>
        <v>1.6811995042446721</v>
      </c>
      <c r="AE349" s="14">
        <f t="shared" si="292"/>
        <v>1.7323671238748393</v>
      </c>
      <c r="AF349" s="14">
        <f t="shared" si="292"/>
        <v>1.816331009274649</v>
      </c>
      <c r="AG349" s="14">
        <f t="shared" si="292"/>
        <v>1.9534022291879174</v>
      </c>
      <c r="AH349" s="14">
        <f t="shared" si="292"/>
        <v>1.8970512711886387</v>
      </c>
      <c r="AI349" s="14">
        <f t="shared" si="292"/>
        <v>3.1567564234557266</v>
      </c>
      <c r="AJ349" s="14">
        <f t="shared" si="292"/>
        <v>3.3645859501295372</v>
      </c>
      <c r="AK349" s="14">
        <f t="shared" si="292"/>
        <v>3.4374641515148645</v>
      </c>
      <c r="AL349" s="14">
        <f t="shared" si="292"/>
        <v>1.9346037298407599</v>
      </c>
      <c r="AM349" s="14">
        <f t="shared" si="292"/>
        <v>2.0439387539707252</v>
      </c>
      <c r="AN349" s="14">
        <f t="shared" si="292"/>
        <v>2.1714476986430675</v>
      </c>
      <c r="AO349" s="14">
        <f t="shared" si="292"/>
        <v>1.8003056626626242</v>
      </c>
      <c r="AP349" s="14">
        <f t="shared" si="292"/>
        <v>2.6579890589970399</v>
      </c>
      <c r="AQ349" s="14">
        <f t="shared" si="292"/>
        <v>2.7462820683238069</v>
      </c>
      <c r="AR349" s="14" t="e">
        <f t="shared" si="292"/>
        <v>#DIV/0!</v>
      </c>
      <c r="AS349" s="14" t="e">
        <f t="shared" si="292"/>
        <v>#DIV/0!</v>
      </c>
    </row>
    <row r="351" spans="1:45" x14ac:dyDescent="0.2">
      <c r="A351" s="20" t="s">
        <v>260</v>
      </c>
      <c r="B351" s="9">
        <f>B68/B10*365</f>
        <v>54.975310006398963</v>
      </c>
      <c r="C351" s="9">
        <f>C68/C10*365</f>
        <v>57.006475402714692</v>
      </c>
      <c r="D351" s="9">
        <f>D68/D10*365</f>
        <v>51.018118053967711</v>
      </c>
      <c r="E351" s="9">
        <f>E68/E10*365</f>
        <v>52.409335404207653</v>
      </c>
      <c r="F351" s="9">
        <f>F68/F10*365</f>
        <v>56.710523091896988</v>
      </c>
      <c r="V351" s="9">
        <f t="shared" ref="V351:AS351" si="293">V68/V10*90</f>
        <v>63.367951437138885</v>
      </c>
      <c r="W351" s="9">
        <f>(V68+W68)/2/W10*90</f>
        <v>64.537373419532003</v>
      </c>
      <c r="X351" s="9">
        <f>(W68+X68)/2/X10*90</f>
        <v>60.720783901394192</v>
      </c>
      <c r="Y351" s="9">
        <f t="shared" ref="Y351:AQ351" si="294">(X68+Y68)/2/Y10*90</f>
        <v>57.39963182376961</v>
      </c>
      <c r="Z351" s="9">
        <f t="shared" si="294"/>
        <v>56.964315392852555</v>
      </c>
      <c r="AA351" s="9">
        <f t="shared" si="294"/>
        <v>58.652166564015168</v>
      </c>
      <c r="AB351" s="9">
        <f t="shared" si="294"/>
        <v>56.276837903340784</v>
      </c>
      <c r="AC351" s="9">
        <f t="shared" si="294"/>
        <v>52.663430953750975</v>
      </c>
      <c r="AD351" s="9">
        <f t="shared" si="294"/>
        <v>53.287486504736989</v>
      </c>
      <c r="AE351" s="9">
        <f t="shared" si="294"/>
        <v>51.904152882251836</v>
      </c>
      <c r="AF351" s="9">
        <f t="shared" si="294"/>
        <v>51.110050073826798</v>
      </c>
      <c r="AG351" s="9">
        <f t="shared" si="294"/>
        <v>48.489144502601469</v>
      </c>
      <c r="AH351" s="9">
        <f t="shared" si="294"/>
        <v>48.007273275642071</v>
      </c>
      <c r="AI351" s="9">
        <f t="shared" si="294"/>
        <v>48.518394467621896</v>
      </c>
      <c r="AJ351" s="9">
        <f t="shared" si="294"/>
        <v>47.928214901976069</v>
      </c>
      <c r="AK351" s="9">
        <f t="shared" si="294"/>
        <v>50.608112077067666</v>
      </c>
      <c r="AL351" s="9">
        <f t="shared" si="294"/>
        <v>51.664643556545236</v>
      </c>
      <c r="AM351" s="9">
        <f t="shared" si="294"/>
        <v>50.944935485306402</v>
      </c>
      <c r="AN351" s="9">
        <f t="shared" si="294"/>
        <v>54.919303675048354</v>
      </c>
      <c r="AO351" s="9">
        <f t="shared" si="294"/>
        <v>58.039567432918695</v>
      </c>
      <c r="AP351" s="9">
        <f t="shared" si="294"/>
        <v>58.338041030218982</v>
      </c>
      <c r="AQ351" s="9">
        <f t="shared" si="294"/>
        <v>59.499797478069006</v>
      </c>
      <c r="AR351" s="9" t="e">
        <f t="shared" si="293"/>
        <v>#DIV/0!</v>
      </c>
      <c r="AS351" s="9" t="e">
        <f t="shared" si="293"/>
        <v>#DIV/0!</v>
      </c>
    </row>
    <row r="352" spans="1:45" x14ac:dyDescent="0.2">
      <c r="A352" s="20" t="s">
        <v>261</v>
      </c>
      <c r="B352" s="9">
        <f>B69/B18*365</f>
        <v>42.968266185175693</v>
      </c>
      <c r="C352" s="9">
        <f>C69/C18*365</f>
        <v>65.554816923529998</v>
      </c>
      <c r="D352" s="9">
        <f>D69/D18*365</f>
        <v>70.934861018342488</v>
      </c>
      <c r="E352" s="9">
        <f>E69/E18*365</f>
        <v>61.700525126130181</v>
      </c>
      <c r="F352" s="9">
        <f>F69/F18*365</f>
        <v>60.100896496180532</v>
      </c>
      <c r="V352" s="9">
        <f t="shared" ref="V352:AS352" si="295">V69/V18*90</f>
        <v>43.250446770487613</v>
      </c>
      <c r="W352" s="9">
        <f>(W69+V69)/2/W18*90</f>
        <v>46.222223203951266</v>
      </c>
      <c r="X352" s="9">
        <f>(X69+W69)/2/X18*90</f>
        <v>45.357073860892193</v>
      </c>
      <c r="Y352" s="9">
        <f>(Y69+X69)/2/Y18*90</f>
        <v>42.144627418690824</v>
      </c>
      <c r="Z352" s="9">
        <f t="shared" ref="Z352:AQ352" si="296">(Z69+Y69)/2/Z18*90</f>
        <v>44.596582840106201</v>
      </c>
      <c r="AA352" s="9">
        <f t="shared" si="296"/>
        <v>50.887231544556982</v>
      </c>
      <c r="AB352" s="9">
        <f t="shared" si="296"/>
        <v>56.569624798037218</v>
      </c>
      <c r="AC352" s="9">
        <f t="shared" si="296"/>
        <v>59.548521088606115</v>
      </c>
      <c r="AD352" s="9">
        <f t="shared" si="296"/>
        <v>65.697073170731699</v>
      </c>
      <c r="AE352" s="9">
        <f t="shared" si="296"/>
        <v>65.22985484428925</v>
      </c>
      <c r="AF352" s="9">
        <f t="shared" si="296"/>
        <v>65.426587859270967</v>
      </c>
      <c r="AG352" s="9">
        <f t="shared" si="296"/>
        <v>66.154016854744043</v>
      </c>
      <c r="AH352" s="9">
        <f t="shared" si="296"/>
        <v>64.539457322082185</v>
      </c>
      <c r="AI352" s="9">
        <f t="shared" si="296"/>
        <v>65.364919005842822</v>
      </c>
      <c r="AJ352" s="9">
        <f t="shared" si="296"/>
        <v>63.020777896043995</v>
      </c>
      <c r="AK352" s="9">
        <f t="shared" si="296"/>
        <v>61.732663465201611</v>
      </c>
      <c r="AL352" s="9">
        <f t="shared" si="296"/>
        <v>63.773004010955752</v>
      </c>
      <c r="AM352" s="9">
        <f t="shared" si="296"/>
        <v>66.379589343926426</v>
      </c>
      <c r="AN352" s="9">
        <f t="shared" si="296"/>
        <v>66.935138643393728</v>
      </c>
      <c r="AO352" s="9">
        <f t="shared" si="296"/>
        <v>65.948793984484638</v>
      </c>
      <c r="AP352" s="9">
        <f t="shared" si="296"/>
        <v>61.954098379355678</v>
      </c>
      <c r="AQ352" s="9">
        <f t="shared" si="296"/>
        <v>67.530608375318266</v>
      </c>
      <c r="AR352" s="9" t="e">
        <f t="shared" si="295"/>
        <v>#DIV/0!</v>
      </c>
      <c r="AS352" s="9" t="e">
        <f t="shared" si="295"/>
        <v>#DIV/0!</v>
      </c>
    </row>
    <row r="353" spans="1:45" x14ac:dyDescent="0.2">
      <c r="A353" s="20" t="s">
        <v>262</v>
      </c>
      <c r="B353" s="9">
        <f>B86/B18*365</f>
        <v>50.051075579929893</v>
      </c>
      <c r="C353" s="9">
        <f>C86/C18*365</f>
        <v>67.984662805536459</v>
      </c>
      <c r="D353" s="9">
        <f>D86/D18*365</f>
        <v>49.889396975457707</v>
      </c>
      <c r="E353" s="9">
        <f>E86/E18*365</f>
        <v>33.030549103351817</v>
      </c>
      <c r="F353" s="9">
        <f>F86/F18*365</f>
        <v>38.67266500166771</v>
      </c>
      <c r="V353" s="9">
        <f t="shared" ref="V353:AS353" si="297">V86/V18*90</f>
        <v>46.363543528210364</v>
      </c>
      <c r="W353" s="9">
        <f>(W86+V86)/2/W18*90</f>
        <v>47.334576202299019</v>
      </c>
      <c r="X353" s="9">
        <f t="shared" ref="X353:AQ353" si="298">(X86+W86)/2/X18*90</f>
        <v>46.562661583131153</v>
      </c>
      <c r="Y353" s="9">
        <f t="shared" si="298"/>
        <v>47.154219843557023</v>
      </c>
      <c r="Z353" s="9">
        <f t="shared" si="298"/>
        <v>52.475191630869112</v>
      </c>
      <c r="AA353" s="9">
        <f t="shared" si="298"/>
        <v>54.869839785202942</v>
      </c>
      <c r="AB353" s="9">
        <f t="shared" si="298"/>
        <v>60.615762072886127</v>
      </c>
      <c r="AC353" s="9">
        <f t="shared" si="298"/>
        <v>65.151533702895378</v>
      </c>
      <c r="AD353" s="9">
        <f t="shared" si="298"/>
        <v>64.123902439024391</v>
      </c>
      <c r="AE353" s="9">
        <f t="shared" si="298"/>
        <v>58.804978168079913</v>
      </c>
      <c r="AF353" s="9">
        <f t="shared" si="298"/>
        <v>55.319418902532057</v>
      </c>
      <c r="AG353" s="9">
        <f t="shared" si="298"/>
        <v>50.08695241121584</v>
      </c>
      <c r="AH353" s="9">
        <f t="shared" si="298"/>
        <v>47.82980332258964</v>
      </c>
      <c r="AI353" s="9">
        <f t="shared" si="298"/>
        <v>46.100589801033095</v>
      </c>
      <c r="AJ353" s="9">
        <f t="shared" si="298"/>
        <v>37.39721926556679</v>
      </c>
      <c r="AK353" s="9">
        <f t="shared" si="298"/>
        <v>33.547097126701821</v>
      </c>
      <c r="AL353" s="9">
        <f t="shared" si="298"/>
        <v>35.699993845080684</v>
      </c>
      <c r="AM353" s="9">
        <f t="shared" si="298"/>
        <v>33.771933716654097</v>
      </c>
      <c r="AN353" s="9">
        <f t="shared" si="298"/>
        <v>33.363234644277505</v>
      </c>
      <c r="AO353" s="9">
        <f t="shared" si="298"/>
        <v>39.928115650401125</v>
      </c>
      <c r="AP353" s="9">
        <f t="shared" si="298"/>
        <v>42.247228820833676</v>
      </c>
      <c r="AQ353" s="9">
        <f t="shared" si="298"/>
        <v>43.291890134893549</v>
      </c>
      <c r="AR353" s="9" t="e">
        <f t="shared" si="297"/>
        <v>#DIV/0!</v>
      </c>
      <c r="AS353" s="9" t="e">
        <f t="shared" si="297"/>
        <v>#DIV/0!</v>
      </c>
    </row>
    <row r="354" spans="1:45" s="3" customFormat="1" x14ac:dyDescent="0.2">
      <c r="A354" s="32" t="s">
        <v>263</v>
      </c>
      <c r="B354" s="36">
        <f>B351+B352-B353</f>
        <v>47.89250061164477</v>
      </c>
      <c r="C354" s="36">
        <f>C351+C352-C353</f>
        <v>54.576629520708224</v>
      </c>
      <c r="D354" s="36">
        <f>D351+D352-D353</f>
        <v>72.063582096852485</v>
      </c>
      <c r="E354" s="36">
        <f>E351+E352-E353</f>
        <v>81.079311426986024</v>
      </c>
      <c r="F354" s="36">
        <f>F351+F352-F353</f>
        <v>78.138754586409803</v>
      </c>
      <c r="V354" s="36">
        <f>V351+V352-V353</f>
        <v>60.254854679416134</v>
      </c>
      <c r="W354" s="36">
        <f t="shared" ref="W354:AS354" si="299">W351+W352-W353</f>
        <v>63.425020421184257</v>
      </c>
      <c r="X354" s="36">
        <f t="shared" si="299"/>
        <v>59.515196179155232</v>
      </c>
      <c r="Y354" s="36">
        <f t="shared" si="299"/>
        <v>52.390039398903419</v>
      </c>
      <c r="Z354" s="36">
        <f t="shared" si="299"/>
        <v>49.085706602089637</v>
      </c>
      <c r="AA354" s="36">
        <f t="shared" si="299"/>
        <v>54.669558323369216</v>
      </c>
      <c r="AB354" s="36">
        <f t="shared" si="299"/>
        <v>52.230700628491874</v>
      </c>
      <c r="AC354" s="36">
        <f t="shared" si="299"/>
        <v>47.060418339461719</v>
      </c>
      <c r="AD354" s="36">
        <f t="shared" si="299"/>
        <v>54.860657236444297</v>
      </c>
      <c r="AE354" s="36">
        <f t="shared" si="299"/>
        <v>58.329029558461173</v>
      </c>
      <c r="AF354" s="36">
        <f t="shared" si="299"/>
        <v>61.217219030565708</v>
      </c>
      <c r="AG354" s="36">
        <f t="shared" si="299"/>
        <v>64.556208946129686</v>
      </c>
      <c r="AH354" s="36">
        <f t="shared" si="299"/>
        <v>64.716927275134623</v>
      </c>
      <c r="AI354" s="36">
        <f t="shared" si="299"/>
        <v>67.782723672431615</v>
      </c>
      <c r="AJ354" s="36">
        <f t="shared" si="299"/>
        <v>73.551773532453282</v>
      </c>
      <c r="AK354" s="36">
        <f t="shared" si="299"/>
        <v>78.793678415567456</v>
      </c>
      <c r="AL354" s="36">
        <f t="shared" si="299"/>
        <v>79.737653722420305</v>
      </c>
      <c r="AM354" s="36">
        <f t="shared" si="299"/>
        <v>83.552591112578739</v>
      </c>
      <c r="AN354" s="36">
        <f t="shared" si="299"/>
        <v>88.491207674164571</v>
      </c>
      <c r="AO354" s="36">
        <f t="shared" si="299"/>
        <v>84.060245767002201</v>
      </c>
      <c r="AP354" s="36">
        <f t="shared" si="299"/>
        <v>78.044910588740976</v>
      </c>
      <c r="AQ354" s="36">
        <f t="shared" si="299"/>
        <v>83.738515718493716</v>
      </c>
      <c r="AR354" s="36" t="e">
        <f t="shared" si="299"/>
        <v>#DIV/0!</v>
      </c>
      <c r="AS354" s="36" t="e">
        <f t="shared" si="299"/>
        <v>#DIV/0!</v>
      </c>
    </row>
    <row r="356" spans="1:45" x14ac:dyDescent="0.2">
      <c r="A356" s="37" t="s">
        <v>273</v>
      </c>
    </row>
    <row r="357" spans="1:45" s="5" customFormat="1" x14ac:dyDescent="0.2">
      <c r="A357" s="20" t="s">
        <v>274</v>
      </c>
      <c r="B357" s="4">
        <f>Y357</f>
        <v>82354</v>
      </c>
      <c r="C357" s="4">
        <f>AC357</f>
        <v>93941</v>
      </c>
      <c r="D357" s="4">
        <f>AG357</f>
        <v>98046</v>
      </c>
      <c r="E357" s="4">
        <f>AK357</f>
        <v>102339</v>
      </c>
      <c r="V357" s="6">
        <v>71388</v>
      </c>
      <c r="W357" s="6">
        <v>78208</v>
      </c>
      <c r="X357" s="6">
        <v>78487</v>
      </c>
      <c r="Y357" s="6">
        <v>82354</v>
      </c>
      <c r="Z357" s="6">
        <v>83156</v>
      </c>
      <c r="AA357" s="6">
        <v>85390</v>
      </c>
      <c r="AB357" s="6">
        <v>91541</v>
      </c>
      <c r="AC357" s="6">
        <v>93941</v>
      </c>
      <c r="AD357" s="6">
        <v>92410</v>
      </c>
      <c r="AE357" s="6">
        <v>94458</v>
      </c>
      <c r="AF357" s="6">
        <v>96143</v>
      </c>
      <c r="AG357" s="6">
        <v>98046</v>
      </c>
      <c r="AH357" s="6">
        <v>100671</v>
      </c>
      <c r="AI357" s="6">
        <v>100946</v>
      </c>
      <c r="AJ357" s="6">
        <v>100999</v>
      </c>
      <c r="AK357" s="6">
        <v>102339</v>
      </c>
      <c r="AL357" s="6">
        <v>107726</v>
      </c>
      <c r="AM357" s="6">
        <v>112771</v>
      </c>
      <c r="AN357" s="6">
        <v>115466</v>
      </c>
    </row>
    <row r="358" spans="1:45" x14ac:dyDescent="0.2">
      <c r="A358" s="22" t="s">
        <v>183</v>
      </c>
      <c r="E358" s="4"/>
      <c r="Z358" s="35">
        <f>(Z357-V357)/V357</f>
        <v>0.16484563231915728</v>
      </c>
      <c r="AA358" s="35">
        <f t="shared" ref="AA358" si="300">(AA357-W357)/W357</f>
        <v>9.1832037643207853E-2</v>
      </c>
      <c r="AB358" s="35">
        <f t="shared" ref="AB358" si="301">(AB357-X357)/X357</f>
        <v>0.16632053715901995</v>
      </c>
      <c r="AC358" s="35">
        <f t="shared" ref="AC358" si="302">(AC357-Y357)/Y357</f>
        <v>0.14069747674672753</v>
      </c>
      <c r="AD358" s="35">
        <f t="shared" ref="AD358" si="303">(AD357-Z357)/Z357</f>
        <v>0.11128481408437155</v>
      </c>
      <c r="AE358" s="35">
        <f t="shared" ref="AE358" si="304">(AE357-AA357)/AA357</f>
        <v>0.10619510481320998</v>
      </c>
      <c r="AF358" s="35">
        <f t="shared" ref="AF358" si="305">(AF357-AB357)/AB357</f>
        <v>5.0272555466949233E-2</v>
      </c>
      <c r="AG358" s="35">
        <f t="shared" ref="AG358" si="306">(AG357-AC357)/AC357</f>
        <v>4.3697640008090184E-2</v>
      </c>
      <c r="AH358" s="35">
        <f t="shared" ref="AH358" si="307">(AH357-AD357)/AD357</f>
        <v>8.9395087111784441E-2</v>
      </c>
      <c r="AI358" s="35">
        <f t="shared" ref="AI358" si="308">(AI357-AE357)/AE357</f>
        <v>6.8686612039213196E-2</v>
      </c>
      <c r="AJ358" s="35">
        <f t="shared" ref="AJ358" si="309">(AJ357-AF357)/AF357</f>
        <v>5.0508097313376951E-2</v>
      </c>
      <c r="AK358" s="35">
        <f t="shared" ref="AK358" si="310">(AK357-AG357)/AG357</f>
        <v>4.378557003855333E-2</v>
      </c>
      <c r="AL358" s="35">
        <f t="shared" ref="AL358" si="311">(AL357-AH357)/AH357</f>
        <v>7.0079764778337356E-2</v>
      </c>
      <c r="AM358" s="35">
        <f t="shared" ref="AM358" si="312">(AM357-AI357)/AI357</f>
        <v>0.1171418382105284</v>
      </c>
      <c r="AN358" s="35">
        <f t="shared" ref="AN358" si="313">(AN357-AJ357)/AJ357</f>
        <v>0.14323904197071258</v>
      </c>
      <c r="AO358" s="35"/>
      <c r="AP358" s="35"/>
      <c r="AQ358" s="3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Kai Hin Darren Leung</cp:lastModifiedBy>
  <cp:revision>0</cp:revision>
  <dcterms:created xsi:type="dcterms:W3CDTF">2026-08-14T07:26:30Z</dcterms:created>
  <dcterms:modified xsi:type="dcterms:W3CDTF">2026-09-05T18:26:51Z</dcterms:modified>
  <dc:language>en-US</dc:language>
</cp:coreProperties>
</file>